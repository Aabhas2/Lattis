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7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charts/chart8.xml" ContentType="application/vnd.openxmlformats-officedocument.drawingml.chart+xml"/>
  <Override PartName="/xl/styles.xml" ContentType="application/vnd.openxmlformats-officedocument.spreadsheetml.styles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style3.xml" ContentType="application/vnd.ms-office.chartstyle+xml"/>
  <Override PartName="/xl/worksheets/sheet6.xml" ContentType="application/vnd.openxmlformats-officedocument.spreadsheetml.worksheet+xml"/>
  <Override PartName="/xl/charts/colors2.xml" ContentType="application/vnd.ms-office.chartcolorstyle+xml"/>
  <Override PartName="/xl/charts/style1.xml" ContentType="application/vnd.ms-office.chartstyle+xml"/>
  <Override PartName="/xl/charts/chart9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0"/>
  </bookViews>
  <sheets>
    <sheet name="Stem &amp; Leaf" sheetId="1" state="visible" r:id="rId2"/>
    <sheet name="Dot Plot" sheetId="2" state="visible" r:id="rId3"/>
    <sheet name="Histogram" sheetId="3" state="visible" r:id="rId4"/>
    <sheet name="BoxPlot" sheetId="4" state="visible" r:id="rId5"/>
    <sheet name="ProbabilityPlot" sheetId="5" state="visible" r:id="rId6"/>
    <sheet name="Binomial" sheetId="6" state="visible" r:id="rId7"/>
    <sheet name="Poisson" sheetId="7" state="visible" r:id="rId8"/>
    <sheet name="Normal" sheetId="8" state="visible" r:id="rId9"/>
    <sheet name="Regression" sheetId="9" state="visible" r:id="rId10"/>
    <sheet name="Corr Coeff" sheetId="10" state="visible" r:id="rId11"/>
    <sheet name="CLT" sheetId="11" state="visible" r:id="rId12"/>
  </sheets>
  <externalReferences>
    <externalReference r:id="rId1"/>
  </externalReferenc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<sst xmlns="http://schemas.openxmlformats.org/spreadsheetml/2006/main" count="376" uniqueCount="376">
  <si>
    <t xml:space="preserve">Practical 1 - Stem and Leaf</t>
  </si>
  <si>
    <t>Q1</t>
  </si>
  <si>
    <t xml:space="preserve">Employee Age</t>
  </si>
  <si>
    <t>Stem</t>
  </si>
  <si>
    <t>Leaf</t>
  </si>
  <si>
    <t>Q2</t>
  </si>
  <si>
    <t xml:space="preserve">Student Percentage</t>
  </si>
  <si>
    <t>Q3</t>
  </si>
  <si>
    <t>Rainfall</t>
  </si>
  <si>
    <t xml:space="preserve">Practicle 2 - Dot Plot</t>
  </si>
  <si>
    <t>X</t>
  </si>
  <si>
    <t>Count</t>
  </si>
  <si>
    <t xml:space="preserve">Practical 3 - Histograms</t>
  </si>
  <si>
    <t xml:space="preserve">Q1  Construct a Histogram for the following frequency distribution of heights (in inches).</t>
  </si>
  <si>
    <t xml:space="preserve">Height in Inches</t>
  </si>
  <si>
    <t>Frequency</t>
  </si>
  <si>
    <t xml:space="preserve">Cumulative Freq.</t>
  </si>
  <si>
    <t xml:space="preserve">Relative Freq. (%)</t>
  </si>
  <si>
    <t>45-50</t>
  </si>
  <si>
    <t>51-56</t>
  </si>
  <si>
    <t>57-62</t>
  </si>
  <si>
    <t>63-68</t>
  </si>
  <si>
    <t>69-74</t>
  </si>
  <si>
    <t>75-80</t>
  </si>
  <si>
    <t>81-86</t>
  </si>
  <si>
    <t>87-92</t>
  </si>
  <si>
    <t>TOTAL</t>
  </si>
  <si>
    <t xml:space="preserve">Q2  Construct a Histogram for runs scored by a batsman (sorted by runs).</t>
  </si>
  <si>
    <t xml:space="preserve">Run Scored</t>
  </si>
  <si>
    <t xml:space="preserve">No. of Balls</t>
  </si>
  <si>
    <t xml:space="preserve">Run Scored (Sorted)</t>
  </si>
  <si>
    <t xml:space="preserve">Q3  Construct a Histogram for the following student weight data (in kg).</t>
  </si>
  <si>
    <t xml:space="preserve">Weight (KG)</t>
  </si>
  <si>
    <t xml:space="preserve">No. of Students</t>
  </si>
  <si>
    <t xml:space="preserve">Weight (KG) Sorted</t>
  </si>
  <si>
    <t xml:space="preserve">Q4  Construct a Histogram for the track lengths (in km) of trains.</t>
  </si>
  <si>
    <t xml:space="preserve">Track Length (KM)</t>
  </si>
  <si>
    <t xml:space="preserve">No. of Trains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</si>
  <si>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</si>
  <si>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</si>
  <si>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</si>
  <si>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</si>
  <si>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</si>
  <si>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</si>
  <si>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</si>
  <si>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</si>
  <si>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 xml:space="preserve">Q5  Construct a Histogram for the following marks distribution of students.</t>
  </si>
  <si>
    <t xml:space="preserve">Marks Range</t>
  </si>
  <si>
    <t>50-55</t>
  </si>
  <si>
    <t>55-60</t>
  </si>
  <si>
    <t>60-65</t>
  </si>
  <si>
    <t>65-70</t>
  </si>
  <si>
    <t>70-75</t>
  </si>
  <si>
    <t>80-85</t>
  </si>
  <si>
    <t>85-90</t>
  </si>
  <si>
    <t xml:space="preserve">Q6  Construct a Histogram for the frequency distribution of heights (in inches) — alternate representation.</t>
  </si>
  <si>
    <t xml:space="preserve">Practical 4 - Box Plots and Comparative Box Plots</t>
  </si>
  <si>
    <t xml:space="preserve">Q1  Construct a Box Plot for the given 40 data values.</t>
  </si>
  <si>
    <t xml:space="preserve">Data Values (X)</t>
  </si>
  <si>
    <t xml:space="preserve">All Data (helper)</t>
  </si>
  <si>
    <t xml:space="preserve">▶ Answer — Q1 Box Plot  (5-Number Summary + Box Plot Stats)</t>
  </si>
  <si>
    <t>Statistic</t>
  </si>
  <si>
    <t>Value</t>
  </si>
  <si>
    <t xml:space="preserve">N (Count)</t>
  </si>
  <si>
    <t>MAX</t>
  </si>
  <si>
    <t>MIN</t>
  </si>
  <si>
    <t>MEAN</t>
  </si>
  <si>
    <t xml:space="preserve">MEDIAN (Q2)</t>
  </si>
  <si>
    <t xml:space="preserve">Q1 (25th %ile)</t>
  </si>
  <si>
    <t xml:space="preserve">Q3 (75th %ile)</t>
  </si>
  <si>
    <t xml:space="preserve">IQR (Q3 - Q1)</t>
  </si>
  <si>
    <t xml:space="preserve">Lower Fence</t>
  </si>
  <si>
    <t xml:space="preserve">Upper Fence</t>
  </si>
  <si>
    <t xml:space="preserve">Q2  Construct a Box Plot for the following data set (10 values).</t>
  </si>
  <si>
    <t xml:space="preserve">▶ Answer — Q2 Box Plot  (5-Number Summary + Box Plot Stats)</t>
  </si>
  <si>
    <t xml:space="preserve">Q3  Construct a Box Plot for the following data set (10 values).</t>
  </si>
  <si>
    <t xml:space="preserve">▶ Answer — Q3 Box Plot  (5-Number Summary + Box Plot Stats)</t>
  </si>
  <si>
    <t xml:space="preserve">Q4  Construct a Box Plot for the following data set (11 values).</t>
  </si>
  <si>
    <t xml:space="preserve">▶ Answer — Q4 Box Plot  (5-Number Summary + Box Plot Stats)</t>
  </si>
  <si>
    <t xml:space="preserve">Q5  Construct a Box Plot for the following data set (12 values).</t>
  </si>
  <si>
    <t xml:space="preserve">▶ Answer — Q5 Box Plot  (5-Number Summary + Box Plot Stats)</t>
  </si>
  <si>
    <t xml:space="preserve">Q6  Construct a Box Plot for the following data set (12 values).</t>
  </si>
  <si>
    <t xml:space="preserve">▶ Answer — Q6 Box Plot  (5-Number Summary + Box Plot Stats)</t>
  </si>
  <si>
    <t xml:space="preserve">Q7  Construct a Comparative Box Plot for the two data sets X and Y.</t>
  </si>
  <si>
    <t xml:space="preserve">Data X</t>
  </si>
  <si>
    <t xml:space="preserve">Data Y</t>
  </si>
  <si>
    <t xml:space="preserve">▶ Answer — Data X Statistics</t>
  </si>
  <si>
    <t xml:space="preserve">▶ Answer — Data Y Statistics</t>
  </si>
  <si>
    <t xml:space="preserve">Value (X)</t>
  </si>
  <si>
    <t xml:space="preserve">Value (Y)</t>
  </si>
  <si>
    <t>N</t>
  </si>
  <si>
    <t>MEDIAN</t>
  </si>
  <si>
    <t>IQR</t>
  </si>
  <si>
    <t xml:space="preserve">Q8  Construct a Comparative Box Plot for three data sets X, Y and Z.</t>
  </si>
  <si>
    <t xml:space="preserve">Data Z</t>
  </si>
  <si>
    <t xml:space="preserve">▶ Answer — Comparative Statistics (X, Y, Z)</t>
  </si>
  <si>
    <t xml:space="preserve">Value (Z)</t>
  </si>
  <si>
    <t xml:space="preserve">Practical 5 - Presentation &amp; Analysis of Data Using Frequency and Probability Plots</t>
  </si>
  <si>
    <t xml:space="preserve">Q1  The following data represent daily maximum temperatures (°C) recorded at 30 weather stations across a region. (a) Make a frequency table displaying frequencies, relative frequencies and percentages. (b) Construct a frequency histogram.</t>
  </si>
  <si>
    <t xml:space="preserve">Raw Temperature Data (°C)</t>
  </si>
  <si>
    <t xml:space="preserve">▶ Answer — Frequency Distribution Table</t>
  </si>
  <si>
    <t xml:space="preserve">X (Temp °C)</t>
  </si>
  <si>
    <t xml:space="preserve">f (Frequency)</t>
  </si>
  <si>
    <t xml:space="preserve">f/n (Rel. Freq.)</t>
  </si>
  <si>
    <t xml:space="preserve">% (Percentage)</t>
  </si>
  <si>
    <t xml:space="preserve">Sum →</t>
  </si>
  <si>
    <t xml:space="preserve">Q2  The following are 10 standardized test scores. Construct a normal probability plot using P = (i−0.5)/n.</t>
  </si>
  <si>
    <t xml:space="preserve">Sample Obs. (Sorted)</t>
  </si>
  <si>
    <t xml:space="preserve">Index (i)</t>
  </si>
  <si>
    <t xml:space="preserve">P = (i−0.5)/n</t>
  </si>
  <si>
    <t xml:space="preserve">Z Percentile
=NORMSINV(P)</t>
  </si>
  <si>
    <t xml:space="preserve">Q3  The following data are monthly household electricity bills ($) collected from 12 households. Sort the data and construct a normal probability plot.</t>
  </si>
  <si>
    <t xml:space="preserve">Original Bill ($)</t>
  </si>
  <si>
    <t xml:space="preserve">Sorted Bill ($)</t>
  </si>
  <si>
    <t xml:space="preserve">Z (Normal Score)
=NORMSINV(P)</t>
  </si>
  <si>
    <t xml:space="preserve">Q4  The following are 12 sorted blood pressure readings (mmHg). Construct a normal probability plot.</t>
  </si>
  <si>
    <t xml:space="preserve">BP Reading (Sorted)</t>
  </si>
  <si>
    <t xml:space="preserve">Q5  The following data represent daily customer complaint counts at 12 service centres. Sort and construct a normal probability plot.</t>
  </si>
  <si>
    <t xml:space="preserve">Original Complaints</t>
  </si>
  <si>
    <t xml:space="preserve">Sorted Complaints</t>
  </si>
  <si>
    <t xml:space="preserve">Q6  Ten assembly-line production deviation scores (mins) are given below (sorted). Construct a normal probability plot.</t>
  </si>
  <si>
    <t xml:space="preserve">Q7  The following are 10 sorted student exam scores. Construct a normal probability plot using P = (i−0.5)/n.</t>
  </si>
  <si>
    <t xml:space="preserve">Exam Score (Sorted)</t>
  </si>
  <si>
    <t xml:space="preserve">Q8  The following data are plant growth measurements (cm) recorded over a month for 12 plant samples. Sort and construct a normal probability plot.</t>
  </si>
  <si>
    <t xml:space="preserve">Original Growth (cm)</t>
  </si>
  <si>
    <t xml:space="preserve">Sorted Growth (cm)</t>
  </si>
  <si>
    <t xml:space="preserve">Practical 6 - Fitting of Binomial Distribution</t>
  </si>
  <si>
    <t xml:space="preserve">Q1  A set of 5 similar coins is tossed 500 times with the following results. Fit a Binomial distribution and compare Classical vs Theoretical probabilities. Compute mean, variance and standard deviation.</t>
  </si>
  <si>
    <t xml:space="preserve">No. of Successes (X)</t>
  </si>
  <si>
    <t xml:space="preserve">Frequency (f)</t>
  </si>
  <si>
    <t xml:space="preserve">N (Total throws)</t>
  </si>
  <si>
    <t xml:space="preserve">▶ Answer — Fitting of Binomial Distribution</t>
  </si>
  <si>
    <t>Xi</t>
  </si>
  <si>
    <t>fi</t>
  </si>
  <si>
    <t xml:space="preserve">Xi × fi</t>
  </si>
  <si>
    <t xml:space="preserve">Xi² × fi</t>
  </si>
  <si>
    <t xml:space="preserve">Classical Prob
(fi / N)</t>
  </si>
  <si>
    <t xml:space="preserve">Binomial Prob
B(x; 5, 0.5)</t>
  </si>
  <si>
    <t xml:space="preserve">Expected Freq
(N × Binom Prob)</t>
  </si>
  <si>
    <t xml:space="preserve">n = 5</t>
  </si>
  <si>
    <t xml:space="preserve">▶ Summary Statistics</t>
  </si>
  <si>
    <t>Formula</t>
  </si>
  <si>
    <t xml:space="preserve">Mean  E(X)</t>
  </si>
  <si>
    <t xml:space="preserve">Σ(Xi·fi) / N</t>
  </si>
  <si>
    <t>E(X²)</t>
  </si>
  <si>
    <t xml:space="preserve">Σ(Xi²·fi) / N</t>
  </si>
  <si>
    <t xml:space="preserve">Variance  Var(X)</t>
  </si>
  <si>
    <t xml:space="preserve">E(X²) − [E(X)]²</t>
  </si>
  <si>
    <t xml:space="preserve">Std Dev  s</t>
  </si>
  <si>
    <t>√Var(X)</t>
  </si>
  <si>
    <t xml:space="preserve">Q2  A set of 5 coins is tossed 480 times. Compare the Classical and Binomial probabilities for the following observed frequency distribution.</t>
  </si>
  <si>
    <t>Total</t>
  </si>
  <si>
    <t xml:space="preserve">Q3  A set of 6 coins is tossed 560 times. Compare the Classical and Binomial probabilities for the following observed frequency distribution.</t>
  </si>
  <si>
    <t xml:space="preserve">Binomial Prob
B(x; 6, 0.5)</t>
  </si>
  <si>
    <t xml:space="preserve">Q4  A set of 8 coins is tossed 400 times. Compare the Classical and Binomial probabilities for the following observed frequency distribution.</t>
  </si>
  <si>
    <t xml:space="preserve">Binomial Prob
B(x; 8, 0.5)</t>
  </si>
  <si>
    <t xml:space="preserve">Q5  A set of 7 coins is tossed 450 times. Compare the Classical and Binomial probabilities for the following observed frequency distribution.</t>
  </si>
  <si>
    <t xml:space="preserve">Binomial Prob
B(x; 7, 0.5)</t>
  </si>
  <si>
    <t xml:space="preserve">Q6  A set of 9 coins is tossed 520 times. Compare the Classical and Binomial probabilities for the following observed frequency distribution.</t>
  </si>
  <si>
    <t xml:space="preserve">Binomial Prob
B(x; 9, 0.5)</t>
  </si>
  <si>
    <t xml:space="preserve">Practical 7 - Fitting of Poisson Distribution</t>
  </si>
  <si>
    <t xml:space="preserve">Q1  The following data give the number of typing errors per page observed in a 400-page manuscript. Fit a Poisson distribution, compare Classical vs Poisson probabilities, and compute the mean and standard deviation.</t>
  </si>
  <si>
    <t xml:space="preserve">No. of Events (X)</t>
  </si>
  <si>
    <t xml:space="preserve">Observed Freq. (f)</t>
  </si>
  <si>
    <t xml:space="preserve">N  (Total)</t>
  </si>
  <si>
    <t xml:space="preserve">λ  (Mean = Σfi·Xi / N)</t>
  </si>
  <si>
    <t xml:space="preserve">▶ Answer — Fitting of Poisson Distribution  [λ = Σ(fi·Xi) / N]</t>
  </si>
  <si>
    <t xml:space="preserve">fi · Xi</t>
  </si>
  <si>
    <t xml:space="preserve">Poisson Prob
P(X=xi ; λ)</t>
  </si>
  <si>
    <t xml:space="preserve">Expected Freq
(N × Poisson Prob)</t>
  </si>
  <si>
    <t xml:space="preserve">N  (Total Observations)</t>
  </si>
  <si>
    <t xml:space="preserve">Σ fi</t>
  </si>
  <si>
    <t xml:space="preserve">Mean  λ = E(X)</t>
  </si>
  <si>
    <t xml:space="preserve">Σ(fi·Xi) / N</t>
  </si>
  <si>
    <t xml:space="preserve">Variance  Var(X) ≈ λ</t>
  </si>
  <si>
    <t xml:space="preserve">Same as λ (Poisson)</t>
  </si>
  <si>
    <t xml:space="preserve">Std Dev  σ = √λ</t>
  </si>
  <si>
    <t>√(Mean)</t>
  </si>
  <si>
    <t xml:space="preserve">Q2  The table below shows the number of road accidents recorded per day on a busy highway stretch over 360 days. Fit a Poisson distribution and compare the Classical and theoretical probabilities.</t>
  </si>
  <si>
    <t xml:space="preserve">λ  (Mean)</t>
  </si>
  <si>
    <t xml:space="preserve">Expected Freq
(N × Poisson)</t>
  </si>
  <si>
    <t xml:space="preserve">Q3  The following frequency distribution records the number of bacterial colonies found per Petri dish in 480 laboratory experiments. Fit a Poisson distribution.</t>
  </si>
  <si>
    <t xml:space="preserve">Q4  The following data represent the number of incoming customer calls per minute recorded at a call centre over 200 one-minute intervals. Fit a Poisson distribution.</t>
  </si>
  <si>
    <t xml:space="preserve">Q5  A quality control study records the number of defective items found per production batch across 320 batches. Fit a Poisson distribution and compare probabilities.</t>
  </si>
  <si>
    <t xml:space="preserve">Q6  The number of network data packets dropped per second was monitored over 430 one-second intervals. The observed frequency distribution is given below. Fit a Poisson distribution.</t>
  </si>
  <si>
    <t xml:space="preserve">Practical 8 - Fitting of Normal Distribution</t>
  </si>
  <si>
    <t xml:space="preserve">Q1  The following frequency distribution shows the marks scored by 800 students in a Mathematics examination. Fit a Normal distribution by computing the mean and standard deviation from the data, then find the theoretical probabilities using the Normal CDF.</t>
  </si>
  <si>
    <t xml:space="preserve">E(X)  =  Σ(f·X) / N</t>
  </si>
  <si>
    <t xml:space="preserve">E(X²) =  Σ(f·X²) / N</t>
  </si>
  <si>
    <t xml:space="preserve">Var(X) = E(X²) − [E(X)]²</t>
  </si>
  <si>
    <t xml:space="preserve">S.D.  =  √Var(X)</t>
  </si>
  <si>
    <t xml:space="preserve">Class Interval</t>
  </si>
  <si>
    <t xml:space="preserve">Lower
Limit (L1)</t>
  </si>
  <si>
    <t xml:space="preserve">Upper
Limit (L2)</t>
  </si>
  <si>
    <t xml:space="preserve">Frequency
(f)</t>
  </si>
  <si>
    <t xml:space="preserve">X = Mid
(L1+L2)/2</t>
  </si>
  <si>
    <t xml:space="preserve">f · X</t>
  </si>
  <si>
    <t xml:space="preserve">f · X²</t>
  </si>
  <si>
    <t xml:space="preserve">F(L1) = CDF
at lower limit</t>
  </si>
  <si>
    <t xml:space="preserve">F(L2) = CDF
at upper limit</t>
  </si>
  <si>
    <t xml:space="preserve">Normal Prob
F(L2)−F(L1)</t>
  </si>
  <si>
    <t xml:space="preserve">Q2  The heights (in cm) of 600 factory workers were measured and grouped into the following frequency table. Fit a Normal distribution and compare the theoretical Normal probabilities with Classical probabilities.</t>
  </si>
  <si>
    <t>155-160</t>
  </si>
  <si>
    <t>160-165</t>
  </si>
  <si>
    <t>165-170</t>
  </si>
  <si>
    <t>170-175</t>
  </si>
  <si>
    <t>175-180</t>
  </si>
  <si>
    <t>180-185</t>
  </si>
  <si>
    <t>185-190</t>
  </si>
  <si>
    <t>190-195</t>
  </si>
  <si>
    <t xml:space="preserve">Q3  Monthly salaries (in hundreds of dollars) of 250 employees at a company are recorded below. Fit a Normal distribution and compare Classical and Normal probabilities.</t>
  </si>
  <si>
    <t>20-30</t>
  </si>
  <si>
    <t xml:space="preserve">Q4  Reaction times (in milliseconds) were measured for 180 participants in a cognitive study. Fit a Normal distribution and compute theoretical probabilities.</t>
  </si>
  <si>
    <t>200-210</t>
  </si>
  <si>
    <t>210-220</t>
  </si>
  <si>
    <t>220-230</t>
  </si>
  <si>
    <t>230-240</t>
  </si>
  <si>
    <t>240-250</t>
  </si>
  <si>
    <t>250-260</t>
  </si>
  <si>
    <t xml:space="preserve">Q5  Monthly rainfall (in mm) was recorded at a weather station for 350 months. The data are grouped below. Fit a Normal distribution.</t>
  </si>
  <si>
    <t>10-20</t>
  </si>
  <si>
    <t xml:space="preserve">Q6  The ages of 420 patients visiting a health clinic are recorded in the grouped frequency table below. Fit a Normal distribution and compare theoretical and Classical probabilities.</t>
  </si>
  <si>
    <t>30-35</t>
  </si>
  <si>
    <t>35-40</t>
  </si>
  <si>
    <t>40-45</t>
  </si>
  <si>
    <t xml:space="preserve">Practical 9 - Fitting of Regression Line using Least Squares Method</t>
  </si>
  <si>
    <t xml:space="preserve">Q1  The table below shows study hours (x) and exam scores (y) for 10 students. Use the principle of least squares to fit y-hat = B0 + B1*x. Estimate B0 and B1.</t>
  </si>
  <si>
    <t xml:space="preserve">Study Hours (x)</t>
  </si>
  <si>
    <t xml:space="preserve">Exam Score (y)</t>
  </si>
  <si>
    <t xml:space="preserve">Answer — Least Squares Regression  y-hat = B0 + B1*x</t>
  </si>
  <si>
    <t>Y</t>
  </si>
  <si>
    <t xml:space="preserve">X * Y</t>
  </si>
  <si>
    <t>X^2</t>
  </si>
  <si>
    <t>Sum</t>
  </si>
  <si>
    <t>Statistics</t>
  </si>
  <si>
    <t>Parameter</t>
  </si>
  <si>
    <t xml:space="preserve">x-bar (Mean X)</t>
  </si>
  <si>
    <t>SUM(X)/n</t>
  </si>
  <si>
    <t xml:space="preserve">y-bar (Mean Y)</t>
  </si>
  <si>
    <t>SUM(Y)/n</t>
  </si>
  <si>
    <t>Sxx</t>
  </si>
  <si>
    <t xml:space="preserve">SUM(X^2)-(SUM X)^2/n</t>
  </si>
  <si>
    <t>Sxy</t>
  </si>
  <si>
    <t>SUM(XY)-SUM(X)*SUM(Y)/n</t>
  </si>
  <si>
    <t xml:space="preserve">B1 (Slope)</t>
  </si>
  <si>
    <t xml:space="preserve">Sxy / Sxx</t>
  </si>
  <si>
    <t xml:space="preserve">B0 (Intercept)</t>
  </si>
  <si>
    <t xml:space="preserve">y-bar - B1*x-bar</t>
  </si>
  <si>
    <t xml:space="preserve">Regression Equation</t>
  </si>
  <si>
    <t xml:space="preserve">y-hat  =  B0  +  B1 * x</t>
  </si>
  <si>
    <t xml:space="preserve">Q2  The daily max temperature (C) and ice cream sales ($00) on 10 days are given. Fit a least-squares line and estimate B0 and B1.</t>
  </si>
  <si>
    <t xml:space="preserve">Temperature C (x)</t>
  </si>
  <si>
    <t xml:space="preserve">Sales $00 (y)</t>
  </si>
  <si>
    <t xml:space="preserve">Q3  Monthly advertising spend ($000) and sales index for 19 months. Use SLOPE and INTERCEPT functions to find the regression line.</t>
  </si>
  <si>
    <t xml:space="preserve">Ad Spend $000 (x)</t>
  </si>
  <si>
    <t xml:space="preserve">Sales Index (y)</t>
  </si>
  <si>
    <t xml:space="preserve">Answer (Excel Functions)</t>
  </si>
  <si>
    <t xml:space="preserve">n (Count)</t>
  </si>
  <si>
    <t xml:space="preserve">r (Correlation)</t>
  </si>
  <si>
    <t xml:space="preserve">Q4  Patient ages (x) and systolic blood pressure (y, mmHg) for 10 patients. Fit a regression line using least squares.</t>
  </si>
  <si>
    <t xml:space="preserve">Age in Years (x)</t>
  </si>
  <si>
    <t xml:space="preserve">Blood Pressure mmHg (y)</t>
  </si>
  <si>
    <t xml:space="preserve">Q5  Training hours completed (x) and performance scores (y) of 10 employees. Fit a least-squares regression line y-hat = B0 + B1*x.</t>
  </si>
  <si>
    <t xml:space="preserve">Training Hours (x)</t>
  </si>
  <si>
    <t xml:space="preserve">Performance Score (y)</t>
  </si>
  <si>
    <t xml:space="preserve">Q6  Rainfall (mm) and crop yield (tons/hectare) at 7 farms in one season. Fit a regression line and determine B0 and B1.</t>
  </si>
  <si>
    <t xml:space="preserve">Rainfall mm (x)</t>
  </si>
  <si>
    <t xml:space="preserve">Crop Yield tons (y)</t>
  </si>
  <si>
    <t xml:space="preserve">Q7  Applied load (kg) on a steel wire and corresponding elongation (mm) for 4 test points. Fit a least-squares line.</t>
  </si>
  <si>
    <t xml:space="preserve">Load kg (x)</t>
  </si>
  <si>
    <t xml:space="preserve">Elongation mm (y)</t>
  </si>
  <si>
    <t xml:space="preserve">Q8  Age (years) of 8 industrial machines and their annual maintenance cost ($00). Use the method of least squares to fit a regression line.</t>
  </si>
  <si>
    <t xml:space="preserve">Machine Age yrs (x)</t>
  </si>
  <si>
    <t xml:space="preserve">Maintenance Cost $00 (y)</t>
  </si>
  <si>
    <t xml:space="preserve">Practical 10 - Computation of Sample Correlation Coefficient</t>
  </si>
  <si>
    <t xml:space="preserve">Q1  Daily maximum temperature (C) and electricity consumption (units) for 8 days. Compute the sample correlation coefficient r using CORREL.</t>
  </si>
  <si>
    <t xml:space="preserve">Electricity Units (y)</t>
  </si>
  <si>
    <t>Answer</t>
  </si>
  <si>
    <t xml:space="preserve">n  (Sample size)</t>
  </si>
  <si>
    <t xml:space="preserve">x-bar  (Mean X)</t>
  </si>
  <si>
    <t xml:space="preserve">y-bar  (Mean Y)</t>
  </si>
  <si>
    <t xml:space="preserve">r  (Pearson Correl.)</t>
  </si>
  <si>
    <t xml:space="preserve">Q2  GPA and starting monthly salary ($00) of 11 fresh graduates. Find the sample correlation coefficient.</t>
  </si>
  <si>
    <t xml:space="preserve">GPA (x)</t>
  </si>
  <si>
    <t xml:space="preserve">Salary $00 (y)</t>
  </si>
  <si>
    <t xml:space="preserve">Q3  Monthly advertising spend ($000) and revenue ($000) for 8 months. Compute the correlation coefficient.</t>
  </si>
  <si>
    <t xml:space="preserve">Revenue $000 (y)</t>
  </si>
  <si>
    <t xml:space="preserve">Q4  Marks obtained by 10 students in Mathematics (x) and Science (y). Compute r manually using Sxx, Syy, Sxy.</t>
  </si>
  <si>
    <t xml:space="preserve">Maths Marks (x)</t>
  </si>
  <si>
    <t xml:space="preserve">Science Marks (y)</t>
  </si>
  <si>
    <t>Y^2</t>
  </si>
  <si>
    <t xml:space="preserve">Answer  —  r = Sxy / SQRT(Sxx * Syy)</t>
  </si>
  <si>
    <t>Syy</t>
  </si>
  <si>
    <t xml:space="preserve">SUM(Y^2)-(SUM Y)^2/n</t>
  </si>
  <si>
    <t xml:space="preserve">r (Correl.)</t>
  </si>
  <si>
    <t xml:space="preserve">Sxy / SQRT(Sxx*Syy)</t>
  </si>
  <si>
    <t xml:space="preserve">Verify via CORREL()</t>
  </si>
  <si>
    <t xml:space="preserve">Q5  Annual rainfall (cm) and groundwater level (m) at 8 stations. Compute r using Sxx, Syy, Sxy.</t>
  </si>
  <si>
    <t xml:space="preserve">Rainfall cm (x)</t>
  </si>
  <si>
    <t xml:space="preserve">Groundwater m (y)</t>
  </si>
  <si>
    <t xml:space="preserve">Q6  Age (years) and annual income ($00) of 10 employees. Compute the sample correlation coefficient r.</t>
  </si>
  <si>
    <t xml:space="preserve">Annual Income $00 (y)</t>
  </si>
  <si>
    <t xml:space="preserve">Q7  Vehicle speed (km/h) and braking distance (m) for 7 test runs. Compute r using Sxx, Syy, Sxy.</t>
  </si>
  <si>
    <t xml:space="preserve">Speed km/h (x)</t>
  </si>
  <si>
    <t xml:space="preserve">Braking Distance m (y)</t>
  </si>
  <si>
    <t xml:space="preserve">Practical 11 - Illustrating the Central Limit Theorem (CLT)</t>
  </si>
  <si>
    <t xml:space="preserve">Q1  A bottling machine fills bottles with a mean of 500 ml and a standard deviation of 15 ml. A quality inspector randomly selects 40 bottles. (a) What is the probability that the sample mean fill exceeds 504 ml? (b) Find the sample mean corresponding to the bottom 5% of the distribution.</t>
  </si>
  <si>
    <t xml:space="preserve">A bottling machine fills bottles with a mean of 500 ml and a standard deviation of 15 ml. A quality inspector randomly selects 40 bottles. (a) What is the probability that the sample mean fill exceeds 504 ml? (b) Find the sample mean corresponding to the bottom 5% of the distribution.</t>
  </si>
  <si>
    <t xml:space="preserve">Given Data</t>
  </si>
  <si>
    <t>Symbol</t>
  </si>
  <si>
    <t xml:space="preserve">Population Mean</t>
  </si>
  <si>
    <t>µ</t>
  </si>
  <si>
    <t xml:space="preserve">Population Std Dev</t>
  </si>
  <si>
    <t>σ</t>
  </si>
  <si>
    <t xml:space="preserve">Sample Size</t>
  </si>
  <si>
    <t>n</t>
  </si>
  <si>
    <t xml:space="preserve">Std Error of Mean  σ/√n</t>
  </si>
  <si>
    <t>σ_x̄</t>
  </si>
  <si>
    <t xml:space="preserve">Probability  P(X_bar &gt; 504)</t>
  </si>
  <si>
    <t>Step</t>
  </si>
  <si>
    <t>Description</t>
  </si>
  <si>
    <t xml:space="preserve">x value</t>
  </si>
  <si>
    <t xml:space="preserve">Given threshold</t>
  </si>
  <si>
    <t xml:space="preserve">z value</t>
  </si>
  <si>
    <t xml:space="preserve">(x - mean) / std_error</t>
  </si>
  <si>
    <t>Probability</t>
  </si>
  <si>
    <t xml:space="preserve">P(X_bar &gt; 504)</t>
  </si>
  <si>
    <t xml:space="preserve">Inverse: Given Cumulative % = 5%, find X_bar and Z</t>
  </si>
  <si>
    <t xml:space="preserve">Cumul. Pct</t>
  </si>
  <si>
    <t>Given</t>
  </si>
  <si>
    <t xml:space="preserve">Z value</t>
  </si>
  <si>
    <t xml:space="preserve"> =NORMSINV(cumul. pct)</t>
  </si>
  <si>
    <t xml:space="preserve">X_bar value</t>
  </si>
  <si>
    <t xml:space="preserve"> =norm.inv(pct, μ, σ_x̄)</t>
  </si>
  <si>
    <t xml:space="preserve">Q2  The lifetime (hours) of a brand of batteries follows a normal distribution with mean 72 h and standard deviation 3.5 h. A pack of 15 batteries is selected at random (T0 = total lifetime). What is the probability that the total lifetime of the pack lies between 1065 h and 1090 h?</t>
  </si>
  <si>
    <t xml:space="preserve">The lifetime (hours) of a brand of batteries follows a normal distribution with mean 72 h and standard deviation 3.5 h. A pack of 15 batteries is selected at random (T0 = total lifetime). What is the probability that the total lifetime of the pack lies between 1065 h and 1090 h?</t>
  </si>
  <si>
    <t xml:space="preserve">Sample Size (n)</t>
  </si>
  <si>
    <t xml:space="preserve">E(T0) = n·µ</t>
  </si>
  <si>
    <t>E(T0)</t>
  </si>
  <si>
    <t xml:space="preserve">Var(T0) = n·σ²</t>
  </si>
  <si>
    <t>V(T0)</t>
  </si>
  <si>
    <t xml:space="preserve">Std Dev of T0</t>
  </si>
  <si>
    <t>s(T0)</t>
  </si>
  <si>
    <t xml:space="preserve">Probability  P(1065 &lt; T0 &lt; 1090)</t>
  </si>
  <si>
    <t>t0</t>
  </si>
  <si>
    <t xml:space="preserve">Lower bound</t>
  </si>
  <si>
    <t>t1</t>
  </si>
  <si>
    <t xml:space="preserve">Upper bound</t>
  </si>
  <si>
    <t>z0</t>
  </si>
  <si>
    <t xml:space="preserve"> =STANDARDIZE(t0, e(t0), s(t0))</t>
  </si>
  <si>
    <t>z1</t>
  </si>
  <si>
    <t xml:space="preserve"> =STANDARDIZE(T1, e(t0), s(t0))</t>
  </si>
  <si>
    <t>P(t0&lt;T0&lt;t1)</t>
  </si>
  <si>
    <t>P(1065&lt;T0&lt;1090)</t>
  </si>
  <si>
    <t xml:space="preserve">Q3  Daily commute times in a city are normally distributed with mean 35 min and standard deviation 8 min. A random sample of 25 commuters is selected. Find (a) P(X_bar &lt;= 33) and (b) P(X_bar &gt; 33).</t>
  </si>
  <si>
    <t xml:space="preserve">Daily commute times in a city are normally distributed with mean 35 min and standard deviation 8 min. A random sample of 25 commuters is selected. Find (a) P(X_bar &lt;= 33) and (b) P(X_bar &gt; 33).</t>
  </si>
  <si>
    <t xml:space="preserve">Sample Mean  E(X_bar)</t>
  </si>
  <si>
    <t>µ_x̄</t>
  </si>
  <si>
    <t xml:space="preserve">Std Error  σ/√n</t>
  </si>
  <si>
    <t xml:space="preserve">Probability Calculation</t>
  </si>
  <si>
    <t xml:space="preserve">P(X_bar &lt;= 33)</t>
  </si>
  <si>
    <t xml:space="preserve">NORMDIST with CLT</t>
  </si>
  <si>
    <t xml:space="preserve">P(X_bar &gt; 33)</t>
  </si>
  <si>
    <t xml:space="preserve">Q4  The height of adult males in a population is approximately normal with mean 170 cm and standard deviation 6 cm. A random sample of 45 males is drawn. Find P(168.5 &lt;= X_bar &lt;= 171.5).</t>
  </si>
  <si>
    <t xml:space="preserve">The height of adult males in a population is approximately normal with mean 170 cm and standard deviation 6 cm. A random sample of 45 males is drawn. Find P(168.5 &lt;= X_bar &lt;= 171.5).</t>
  </si>
  <si>
    <t xml:space="preserve">P(168.5 &lt;= X_bar &lt;= 171.5)</t>
  </si>
  <si>
    <t xml:space="preserve">Q5  Scores on a standardised exam are normally distributed with mean 65 and standard deviation 12. A random sample of 64 students is chosen. Find P(X_bar &gt; 62).</t>
  </si>
  <si>
    <t xml:space="preserve">Scores on a standardised exam are normally distributed with mean 65 and standard deviation 12. A random sample of 64 students is chosen. Find P(X_bar &gt; 62).</t>
  </si>
  <si>
    <t xml:space="preserve">P(X_bar &gt; 62)</t>
  </si>
  <si>
    <t xml:space="preserve">Q6  Monthly household expenses follow a distribution with mean $2500 and standard deviation $450. A random sample of 36 households is surveyed. Find P(2400 &lt; X_bar &lt; 2600).</t>
  </si>
  <si>
    <t xml:space="preserve">Monthly household expenses follow a distribution with mean $2500 and standard deviation $450. A random sample of 36 households is surveyed. Find P(2400 &lt; X_bar &lt; 2600).</t>
  </si>
  <si>
    <t xml:space="preserve">P(2400 &lt; X_bar &lt; 2600)</t>
  </si>
  <si>
    <t xml:space="preserve">Q7  A precision machine produces components with mean diameter 25.5 mm and standard deviation 0.8 mm. A random sample of 16 components is inspected. Find (a) P(X_bar &lt;= 26.0) and (b) P(X_bar &gt; 25.0).</t>
  </si>
  <si>
    <t xml:space="preserve">A precision machine produces components with mean diameter 25.5 mm and standard deviation 0.8 mm. A random sample of 16 components is inspected. Find (a) P(X_bar &lt;= 26.0) and (b) P(X_bar &gt; 25.0).</t>
  </si>
  <si>
    <t xml:space="preserve">P(X_bar &lt;= 26.0)</t>
  </si>
  <si>
    <t xml:space="preserve">P(X_bar &gt; 25.0)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</si>
</sst>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00"/>
    <numFmt numFmtId="166" formatCode="0.000000"/>
    <numFmt numFmtId="167" formatCode="0.0"/>
  </numFmts>
  <fonts count="12">
    <font>
      <sz val="11.000000"/>
      <color theme="1"/>
      <name val="Aptos Narrow"/>
      <scheme val="minor"/>
    </font>
    <font>
      <sz val="11.000000"/>
      <color theme="1"/>
      <name val="Calibri"/>
    </font>
    <font>
      <sz val="11.000000"/>
      <color theme="1"/>
      <name val="Arial"/>
    </font>
    <font>
      <b/>
      <sz val="22.000000"/>
      <color theme="1"/>
      <name val="Arial"/>
    </font>
    <font>
      <b/>
      <sz val="11.000000"/>
      <color theme="1"/>
      <name val="Arial"/>
    </font>
    <font>
      <sz val="11.000000"/>
      <color indexed="64"/>
      <name val="Arial"/>
    </font>
    <font>
      <b/>
      <sz val="22.000000"/>
      <color theme="1"/>
      <name val="Aptos Narrow"/>
      <scheme val="minor"/>
    </font>
    <font>
      <sz val="10.000000"/>
      <color indexed="64"/>
      <name val="Arial"/>
    </font>
    <font>
      <b/>
      <sz val="13.000000"/>
      <name val="Arial"/>
    </font>
    <font>
      <b/>
      <sz val="11.000000"/>
      <name val="Arial"/>
    </font>
    <font>
      <sz val="11.000000"/>
      <name val="Arial"/>
    </font>
    <font>
      <i/>
      <sz val="11.000000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3" tint="0.749992370372631"/>
      </patternFill>
    </fill>
    <fill>
      <patternFill patternType="solid">
        <fgColor indexed="5"/>
        <bgColor indexed="5"/>
      </patternFill>
    </fill>
    <fill>
      <patternFill patternType="solid">
        <fgColor rgb="FFD9D9D9"/>
        <bgColor indexed="22"/>
      </patternFill>
    </fill>
    <fill>
      <patternFill patternType="solid">
        <fgColor rgb="FFD9D9D9"/>
        <bgColor rgb="FFEBF1DE"/>
      </patternFill>
    </fill>
    <fill>
      <patternFill patternType="solid">
        <fgColor rgb="FFEBF1DE"/>
        <bgColor indexed="65"/>
      </patternFill>
    </fill>
    <fill>
      <patternFill patternType="solid">
        <fgColor rgb="FFEBF1DE"/>
        <bgColor rgb="FFDCE6F1"/>
      </patternFill>
    </fill>
    <fill>
      <patternFill patternType="solid">
        <fgColor rgb="FFD9D9D9"/>
        <bgColor rgb="FFDCE6F1"/>
      </patternFill>
    </fill>
    <fill>
      <patternFill patternType="solid">
        <fgColor rgb="FFDCE6F1"/>
        <bgColor rgb="FFD9D9D9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5">
    <xf fontId="0" fillId="0" borderId="0" numFmtId="0" xfId="0"/>
    <xf fontId="2" fillId="0" borderId="0" numFmtId="0" xfId="0" applyFont="1" applyAlignment="1">
      <alignment horizontal="center" vertical="center"/>
    </xf>
    <xf fontId="3" fillId="2" borderId="0" numFmtId="0" xfId="0" applyFont="1" applyFill="1" applyAlignment="1">
      <alignment horizontal="center" vertical="center"/>
    </xf>
    <xf fontId="4" fillId="2" borderId="0" numFmtId="0" xfId="0" applyFont="1" applyFill="1" applyAlignment="1">
      <alignment horizontal="center" vertical="center"/>
    </xf>
    <xf fontId="4" fillId="0" borderId="0" numFmtId="0" xfId="0" applyFont="1" applyAlignment="1">
      <alignment horizontal="center" vertical="center"/>
    </xf>
    <xf fontId="2" fillId="2" borderId="0" numFmtId="0" xfId="0" applyFont="1" applyFill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5" fillId="0" borderId="1" numFmtId="0" xfId="1" applyFont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2" fillId="0" borderId="1" numFmtId="0" xfId="1" applyFont="1" applyBorder="1" applyAlignment="1">
      <alignment horizontal="center" vertical="center"/>
    </xf>
    <xf fontId="5" fillId="0" borderId="0" numFmtId="0" xfId="1" applyFont="1" applyAlignment="1">
      <alignment horizontal="center" vertical="center"/>
    </xf>
    <xf fontId="2" fillId="0" borderId="0" numFmtId="0" xfId="1" applyFont="1" applyAlignment="1">
      <alignment horizontal="center" vertical="center"/>
    </xf>
    <xf fontId="5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6" fillId="2" borderId="0" numFmtId="0" xfId="0" applyFont="1" applyFill="1" applyAlignment="1">
      <alignment horizontal="center" vertical="center"/>
    </xf>
    <xf fontId="0" fillId="2" borderId="0" numFmtId="0" xfId="0" applyFill="1" applyAlignment="1">
      <alignment horizontal="center" vertical="center"/>
    </xf>
    <xf fontId="7" fillId="0" borderId="1" numFmtId="0" xfId="0" applyFont="1" applyBorder="1" applyAlignment="1">
      <alignment horizontal="center" vertical="center"/>
    </xf>
    <xf fontId="8" fillId="4" borderId="0" numFmtId="0" xfId="0" applyFont="1" applyFill="1" applyAlignment="1">
      <alignment horizontal="left" vertical="center"/>
      <protection hidden="0" locked="1"/>
    </xf>
    <xf fontId="1" fillId="0" borderId="0" numFmtId="0" xfId="0" applyFont="1">
      <protection hidden="0" locked="1"/>
    </xf>
    <xf fontId="9" fillId="4" borderId="5" numFmtId="0" xfId="0" applyFont="1" applyFill="1" applyBorder="1" applyAlignment="1">
      <alignment horizontal="left" vertical="center"/>
      <protection hidden="0" locked="1"/>
    </xf>
    <xf fontId="9" fillId="5" borderId="6" numFmtId="0" xfId="0" applyFont="1" applyFill="1" applyBorder="1" applyAlignment="1">
      <alignment horizontal="center" vertical="center" wrapText="1"/>
      <protection hidden="0" locked="1"/>
    </xf>
    <xf fontId="1" fillId="0" borderId="7" numFmtId="0" xfId="0" applyFont="1" applyBorder="1">
      <protection hidden="0" locked="1"/>
    </xf>
    <xf fontId="10" fillId="0" borderId="6" numFmtId="0" xfId="0" applyFont="1" applyBorder="1" applyAlignment="1">
      <alignment horizontal="center" vertical="center" wrapText="1"/>
      <protection hidden="0" locked="1"/>
    </xf>
    <xf fontId="10" fillId="0" borderId="6" numFmtId="0" xfId="0" applyFont="1" applyBorder="1" applyAlignment="1">
      <alignment horizontal="center"/>
      <protection hidden="0" locked="1"/>
    </xf>
    <xf fontId="10" fillId="0" borderId="6" numFmtId="2" xfId="0" applyNumberFormat="1" applyFont="1" applyBorder="1" applyAlignment="1">
      <alignment horizontal="center"/>
      <protection hidden="0" locked="1"/>
    </xf>
    <xf fontId="1" fillId="0" borderId="8" numFmtId="0" xfId="0" applyFont="1" applyBorder="1">
      <protection hidden="0" locked="1"/>
    </xf>
    <xf fontId="9" fillId="0" borderId="6" numFmtId="0" xfId="0" applyFont="1" applyBorder="1" applyAlignment="1">
      <alignment horizontal="center" vertical="center" wrapText="1"/>
      <protection hidden="0" locked="1"/>
    </xf>
    <xf fontId="9" fillId="0" borderId="6" numFmtId="0" xfId="0" applyFont="1" applyBorder="1" applyAlignment="1">
      <alignment horizontal="center"/>
      <protection hidden="0" locked="1"/>
    </xf>
    <xf fontId="1" fillId="0" borderId="9" numFmtId="0" xfId="0" applyFont="1" applyBorder="1">
      <protection hidden="0" locked="1"/>
    </xf>
    <xf fontId="9" fillId="0" borderId="6" numFmtId="2" xfId="0" applyNumberFormat="1" applyFont="1" applyBorder="1" applyAlignment="1">
      <alignment horizontal="center"/>
      <protection hidden="0" locked="1"/>
    </xf>
    <xf fontId="8" fillId="4" borderId="0" numFmtId="0" xfId="0" applyFont="1" applyFill="1" applyAlignment="1">
      <alignment horizontal="left" vertical="center"/>
      <protection hidden="0" locked="1"/>
    </xf>
    <xf fontId="9" fillId="5" borderId="10" numFmtId="0" xfId="0" applyFont="1" applyFill="1" applyBorder="1" applyAlignment="1">
      <alignment horizontal="left"/>
      <protection hidden="0" locked="1"/>
    </xf>
    <xf fontId="9" fillId="5" borderId="11" numFmtId="0" xfId="0" applyFont="1" applyFill="1" applyBorder="1" applyAlignment="1">
      <alignment horizontal="left"/>
      <protection hidden="0" locked="1"/>
    </xf>
    <xf fontId="1" fillId="0" borderId="12" numFmtId="0" xfId="0" applyFont="1" applyBorder="1">
      <protection hidden="0" locked="1"/>
    </xf>
    <xf fontId="10" fillId="0" borderId="6" numFmtId="0" xfId="0" applyFont="1" applyBorder="1" applyAlignment="1">
      <alignment horizontal="center" vertical="center"/>
      <protection hidden="0" locked="1"/>
    </xf>
    <xf fontId="9" fillId="5" borderId="6" numFmtId="0" xfId="0" applyFont="1" applyFill="1" applyBorder="1" applyAlignment="1">
      <alignment horizontal="center" vertical="center"/>
      <protection hidden="0" locked="1"/>
    </xf>
    <xf fontId="10" fillId="0" borderId="6" numFmtId="2" xfId="0" applyNumberFormat="1" applyFont="1" applyBorder="1" applyAlignment="1">
      <alignment horizontal="center" vertical="center"/>
      <protection hidden="0" locked="1"/>
    </xf>
    <xf fontId="1" fillId="0" borderId="5" numFmtId="0" xfId="0" applyFont="1" applyBorder="1">
      <protection hidden="0" locked="1"/>
    </xf>
    <xf fontId="1" fillId="0" borderId="13" numFmtId="0" xfId="0" applyFont="1" applyBorder="1">
      <protection hidden="0" locked="1"/>
    </xf>
    <xf fontId="1" fillId="0" borderId="14" numFmtId="0" xfId="0" applyFont="1" applyBorder="1">
      <protection hidden="0" locked="1"/>
    </xf>
    <xf fontId="9" fillId="5" borderId="15" numFmtId="0" xfId="0" applyFont="1" applyFill="1" applyBorder="1" applyAlignment="1">
      <alignment horizontal="left"/>
      <protection hidden="0" locked="1"/>
    </xf>
    <xf fontId="1" fillId="0" borderId="16" numFmtId="0" xfId="0" applyFont="1" applyBorder="1">
      <protection hidden="0" locked="1"/>
    </xf>
    <xf fontId="9" fillId="4" borderId="5" numFmtId="0" xfId="0" applyFont="1" applyFill="1" applyBorder="1" applyAlignment="1">
      <alignment horizontal="left" vertical="center" wrapText="1"/>
      <protection hidden="0" locked="1"/>
    </xf>
    <xf fontId="9" fillId="6" borderId="10" numFmtId="0" xfId="0" applyFont="1" applyFill="1" applyBorder="1" applyAlignment="1">
      <alignment horizontal="center" vertical="center" wrapText="1"/>
      <protection hidden="0" locked="1"/>
    </xf>
    <xf fontId="9" fillId="6" borderId="15" numFmtId="0" xfId="0" applyFont="1" applyFill="1" applyBorder="1" applyAlignment="1">
      <alignment horizontal="center" vertical="center" wrapText="1"/>
      <protection hidden="0" locked="1"/>
    </xf>
    <xf fontId="9" fillId="6" borderId="11" numFmtId="0" xfId="0" applyFont="1" applyFill="1" applyBorder="1" applyAlignment="1">
      <alignment horizontal="center" vertical="center" wrapText="1"/>
      <protection hidden="0" locked="1"/>
    </xf>
    <xf fontId="1" fillId="0" borderId="15" numFmtId="0" xfId="0" applyFont="1" applyBorder="1">
      <protection hidden="0" locked="1"/>
    </xf>
    <xf fontId="9" fillId="7" borderId="10" numFmtId="0" xfId="0" applyFont="1" applyFill="1" applyBorder="1" applyAlignment="1">
      <alignment horizontal="left" vertical="center"/>
      <protection hidden="0" locked="1"/>
    </xf>
    <xf fontId="9" fillId="7" borderId="15" numFmtId="0" xfId="0" applyFont="1" applyFill="1" applyBorder="1" applyAlignment="1">
      <alignment horizontal="left" vertical="center"/>
      <protection hidden="0" locked="1"/>
    </xf>
    <xf fontId="9" fillId="7" borderId="11" numFmtId="0" xfId="0" applyFont="1" applyFill="1" applyBorder="1" applyAlignment="1">
      <alignment horizontal="left" vertical="center"/>
      <protection hidden="0" locked="1"/>
    </xf>
    <xf fontId="9" fillId="6" borderId="6" numFmtId="0" xfId="0" applyFont="1" applyFill="1" applyBorder="1" applyAlignment="1">
      <alignment horizontal="center" vertical="center" wrapText="1"/>
      <protection hidden="0" locked="1"/>
    </xf>
    <xf fontId="10" fillId="0" borderId="6" numFmtId="164" xfId="0" applyNumberFormat="1" applyFont="1" applyBorder="1" applyAlignment="1">
      <alignment horizontal="center"/>
      <protection hidden="0" locked="1"/>
    </xf>
    <xf fontId="9" fillId="0" borderId="6" numFmtId="164" xfId="0" applyNumberFormat="1" applyFont="1" applyBorder="1" applyAlignment="1">
      <alignment horizontal="center"/>
      <protection hidden="0" locked="1"/>
    </xf>
    <xf fontId="10" fillId="0" borderId="6" numFmtId="165" xfId="0" applyNumberFormat="1" applyFont="1" applyBorder="1" applyAlignment="1">
      <alignment horizontal="center"/>
      <protection hidden="0" locked="1"/>
    </xf>
    <xf fontId="11" fillId="0" borderId="6" numFmtId="0" xfId="0" applyFont="1" applyBorder="1" applyAlignment="1">
      <alignment horizontal="center" vertical="center" wrapText="1"/>
      <protection hidden="0" locked="1"/>
    </xf>
    <xf fontId="10" fillId="0" borderId="6" numFmtId="166" xfId="0" applyNumberFormat="1" applyFont="1" applyBorder="1" applyAlignment="1">
      <alignment horizontal="center" vertical="center"/>
      <protection hidden="0" locked="1"/>
    </xf>
    <xf fontId="10" fillId="0" borderId="6" numFmtId="165" xfId="0" applyNumberFormat="1" applyFont="1" applyBorder="1" applyAlignment="1">
      <alignment horizontal="center" vertical="center"/>
      <protection hidden="0" locked="1"/>
    </xf>
    <xf fontId="10" fillId="0" borderId="6" numFmtId="1" xfId="0" applyNumberFormat="1" applyFont="1" applyBorder="1" applyAlignment="1">
      <alignment horizontal="center" vertical="center"/>
      <protection hidden="0" locked="1"/>
    </xf>
    <xf fontId="10" fillId="0" borderId="6" numFmtId="164" xfId="0" applyNumberFormat="1" applyFont="1" applyBorder="1" applyAlignment="1">
      <alignment horizontal="center" vertical="center"/>
      <protection hidden="0" locked="1"/>
    </xf>
    <xf fontId="10" fillId="0" borderId="6" numFmtId="167" xfId="0" applyNumberFormat="1" applyFont="1" applyBorder="1" applyAlignment="1">
      <alignment horizontal="center" vertical="center"/>
      <protection hidden="0" locked="1"/>
    </xf>
    <xf fontId="0" fillId="0" borderId="0" numFmtId="0" xfId="0">
      <protection hidden="0" locked="1"/>
    </xf>
    <xf fontId="9" fillId="4" borderId="0" numFmtId="0" xfId="0" applyFont="1" applyFill="1" applyAlignment="1">
      <alignment horizontal="left" vertical="center"/>
      <protection hidden="0" locked="1"/>
    </xf>
    <xf fontId="11" fillId="0" borderId="0" numFmtId="0" xfId="0" applyFont="1" applyAlignment="1">
      <alignment horizontal="left" vertical="center" wrapText="1"/>
      <protection hidden="0" locked="1"/>
    </xf>
    <xf fontId="9" fillId="8" borderId="10" numFmtId="0" xfId="0" applyFont="1" applyFill="1" applyBorder="1" applyAlignment="1">
      <alignment horizontal="left" vertical="center"/>
      <protection hidden="0" locked="1"/>
    </xf>
    <xf fontId="9" fillId="8" borderId="15" numFmtId="0" xfId="0" applyFont="1" applyFill="1" applyBorder="1" applyAlignment="1">
      <alignment horizontal="left" vertical="center"/>
      <protection hidden="0" locked="1"/>
    </xf>
    <xf fontId="9" fillId="8" borderId="11" numFmtId="0" xfId="0" applyFont="1" applyFill="1" applyBorder="1" applyAlignment="1">
      <alignment horizontal="left" vertical="center"/>
      <protection hidden="0" locked="1"/>
    </xf>
    <xf fontId="9" fillId="9" borderId="6" numFmtId="0" xfId="0" applyFont="1" applyFill="1" applyBorder="1" applyAlignment="1">
      <alignment horizontal="center" vertical="center" wrapText="1"/>
      <protection hidden="0" locked="1"/>
    </xf>
    <xf fontId="9" fillId="10" borderId="10" numFmtId="0" xfId="0" applyFont="1" applyFill="1" applyBorder="1" applyAlignment="1">
      <alignment horizontal="left" vertical="center"/>
      <protection hidden="0" locked="1"/>
    </xf>
    <xf fontId="9" fillId="10" borderId="15" numFmtId="0" xfId="0" applyFont="1" applyFill="1" applyBorder="1" applyAlignment="1">
      <alignment horizontal="left" vertical="center"/>
      <protection hidden="0" locked="1"/>
    </xf>
    <xf fontId="9" fillId="10" borderId="11" numFmtId="0" xfId="0" applyFont="1" applyFill="1" applyBorder="1" applyAlignment="1">
      <alignment horizontal="left" vertical="center"/>
      <protection hidden="0" locked="1"/>
    </xf>
    <xf fontId="10" fillId="0" borderId="6" numFmtId="2" xfId="0" applyNumberFormat="1" applyFont="1" applyBorder="1" applyAlignment="1">
      <alignment horizontal="center" vertical="center" wrapText="1"/>
      <protection hidden="0" locked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_rels/chart8.xml.rels><?xml version="1.0" encoding="UTF-8" standalone="yes"?><Relationships xmlns="http://schemas.openxmlformats.org/package/2006/relationships"></Relationships>
</file>

<file path=xl/charts/_rels/chart9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</a:t>
            </a:r>
            <a:r>
              <a:rPr lang="en-US"/>
              <a:t> Plot</a:t>
            </a:r>
            <a:endParaRPr lang="en-US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'Dot Plot'!$B$5</c:f>
              <c:strCache>
                <c:ptCount val="1"/>
                <c:pt idx="0">
                  <c:v>Count</c:v>
                </c:pt>
              </c:strCache>
            </c:strRef>
          </c:tx>
          <c:spPr bwMode="auto">
            <a:prstGeom prst="rect">
              <a:avLst/>
            </a:prstGeom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'Dot Plot'!$A$6:$A$25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</c:numCache>
            </c:numRef>
          </c:xVal>
          <c:yVal>
            <c:numRef>
              <c:f>'Dot Plot'!$B$6:$B$25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01638560"/>
        <c:axId val="201647680"/>
      </c:scatterChart>
      <c:valAx>
        <c:axId val="20163856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7680"/>
        <c:crosses val="autoZero"/>
        <c:crossBetween val="midCat"/>
      </c:valAx>
      <c:valAx>
        <c:axId val="2016476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8560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</a:t>
            </a:r>
            <a:r>
              <a:rPr lang="en-US"/>
              <a:t> Plot</a:t>
            </a:r>
            <a:endParaRPr lang="en-US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'Dot Plot'!$A$30:$A$47</c:f>
              <c:numCache>
                <c:formatCode>General</c:formatCode>
                <c:ptCount val="18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32</c:v>
                </c:pt>
                <c:pt idx="16">
                  <c:v>32</c:v>
                </c:pt>
                <c:pt idx="17">
                  <c:v>33</c:v>
                </c:pt>
              </c:numCache>
            </c:numRef>
          </c:xVal>
          <c:yVal>
            <c:numRef>
              <c:f>'Dot Plot'!$B$30:$B$47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01687040"/>
        <c:axId val="201688000"/>
      </c:scatterChart>
      <c:valAx>
        <c:axId val="20168704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8000"/>
        <c:crosses val="autoZero"/>
        <c:crossBetween val="midCat"/>
      </c:valAx>
      <c:valAx>
        <c:axId val="2016880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87040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cap="none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</a:t>
            </a:r>
            <a:r>
              <a:rPr lang="en-US"/>
              <a:t> Plot</a:t>
            </a:r>
            <a:endParaRPr lang="en-US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 bwMode="auto"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'Dot Plot'!$A$52:$A$73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</c:numCache>
            </c:numRef>
          </c:xVal>
          <c:yVal>
            <c:numRef>
              <c:f>'Dot Plot'!$B$52:$B$73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1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451504112"/>
        <c:axId val="451505072"/>
      </c:scatterChart>
      <c:valAx>
        <c:axId val="451504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05072"/>
        <c:crosses val="autoZero"/>
        <c:crossBetween val="midCat"/>
      </c:valAx>
      <c:valAx>
        <c:axId val="45150507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04112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Q1: Height in Inches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'[1]Histogram'!E4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'[1]Histogram'!$D$5:$D$12</c:f>
            </c:strRef>
          </c:cat>
          <c:val>
            <c:numRef>
              <c:f>'[1]Histogram'!$E$5:$E$12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477"/>
        <c:axId val="1866169478"/>
      </c:barChart>
      <c:catAx>
        <c:axId val="18661694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Height in Inches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78"/>
        <c:crosses val="autoZero"/>
        <c:auto val="1"/>
        <c:lblAlgn val="ctr"/>
        <c:lblOffset val="100"/>
        <c:noMultiLvlLbl val="0"/>
      </c:catAx>
      <c:valAx>
        <c:axId val="186616947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Frequency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77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448299" y="395287"/>
      <a:ext cx="3009899" cy="2432706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Q2: Run Scored (Sorted)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'[1]Histogram'!E16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'[1]Histogram'!$D$17:$D$26</c:f>
            </c:strRef>
          </c:cat>
          <c:val>
            <c:numRef>
              <c:f>'[1]Histogram'!$E$17:$E$26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481"/>
        <c:axId val="1866169482"/>
      </c:barChart>
      <c:catAx>
        <c:axId val="18661694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Run Scored (Sorted)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82"/>
        <c:crosses val="autoZero"/>
        <c:auto val="1"/>
        <c:lblAlgn val="ctr"/>
        <c:lblOffset val="100"/>
        <c:noMultiLvlLbl val="0"/>
      </c:catAx>
      <c:valAx>
        <c:axId val="18661694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No. of Balls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81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314949" y="2928937"/>
      <a:ext cx="3276599" cy="2552128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Q3: Weight (KG) Sorted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'[1]Histogram'!E30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'[1]Histogram'!$D$31:$D$39</c:f>
            </c:strRef>
          </c:cat>
          <c:val>
            <c:numRef>
              <c:f>'[1]Histogram'!$E$31:$E$39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489"/>
        <c:axId val="1866169490"/>
      </c:barChart>
      <c:catAx>
        <c:axId val="18661694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Weight (KG) Sorted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90"/>
        <c:crosses val="autoZero"/>
        <c:auto val="1"/>
        <c:lblAlgn val="ctr"/>
        <c:lblOffset val="100"/>
        <c:noMultiLvlLbl val="0"/>
      </c:catAx>
      <c:valAx>
        <c:axId val="186616949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No. of Students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8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314949" y="5729287"/>
      <a:ext cx="3143250" cy="2408322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Q4: Track Length (KM)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'[1]Histogram'!E43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'[1]Histogram'!$D$44:$D$51</c:f>
            </c:strRef>
          </c:cat>
          <c:val>
            <c:numRef>
              <c:f>'[1]Histogram'!$E$44:$E$51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495"/>
        <c:axId val="1866169496"/>
      </c:barChart>
      <c:catAx>
        <c:axId val="18661694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Track Length (KM)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96"/>
        <c:crosses val="autoZero"/>
        <c:auto val="1"/>
        <c:lblAlgn val="ctr"/>
        <c:lblOffset val="100"/>
        <c:noMultiLvlLbl val="0"/>
      </c:catAx>
      <c:valAx>
        <c:axId val="186616949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No. of Trains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95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386387" y="8253412"/>
      <a:ext cx="3000375" cy="2208868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Q5: Marks Range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'[1]Histogram'!E55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'[1]Histogram'!$D$56:$D$64</c:f>
            </c:strRef>
          </c:cat>
          <c:val>
            <c:numRef>
              <c:f>'[1]Histogram'!$E$56:$E$64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499"/>
        <c:axId val="1866169500"/>
      </c:barChart>
      <c:catAx>
        <c:axId val="18661694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Marks Range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500"/>
        <c:crosses val="autoZero"/>
        <c:auto val="1"/>
        <c:lblAlgn val="ctr"/>
        <c:lblOffset val="100"/>
        <c:noMultiLvlLbl val="0"/>
      </c:catAx>
      <c:valAx>
        <c:axId val="186616950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No. of Students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499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367337" y="10720387"/>
      <a:ext cx="3019424" cy="2147317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0">
                <a:solidFill>
                  <a:srgbClr val="000000"/>
                </a:solidFill>
                <a:latin typeface="Calibri"/>
              </a:defRPr>
            </a:pPr>
            <a:r>
              <a:rPr sz="1800" b="1" strike="noStrike" spc="0">
                <a:solidFill>
                  <a:srgbClr val="000000"/>
                </a:solidFill>
                <a:latin typeface="Calibri"/>
              </a:rPr>
              <a:t>Q6: Height in Inches Histogram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'[1]Histogram'!E68</c:f>
            </c:strRef>
          </c:tx>
          <c:spPr bwMode="auto">
            <a:prstGeom prst="rect">
              <a:avLst/>
            </a:prstGeom>
            <a:solidFill>
              <a:srgbClr val="4F81BD"/>
            </a:solidFill>
            <a:ln w="0">
              <a:noFill/>
            </a:ln>
          </c:spPr>
          <c:invertIfNegative val="0"/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0">
                    <a:latin typeface="Arial"/>
                  </a:defRPr>
                </a:pPr>
                <a:endParaRPr/>
              </a:p>
            </c:txPr>
          </c:dLbls>
          <c:cat>
            <c:strRef>
              <c:f>'[1]Histogram'!$D$69:$D$76</c:f>
            </c:strRef>
          </c:cat>
          <c:val>
            <c:numRef>
              <c:f>'[1]Histogram'!$E$69:$E$76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0"/>
        <c:overlap val="0"/>
        <c:axId val="1866169503"/>
        <c:axId val="1866169504"/>
      </c:barChart>
      <c:catAx>
        <c:axId val="18661695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Height in Inches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504"/>
        <c:crosses val="autoZero"/>
        <c:auto val="1"/>
        <c:lblAlgn val="ctr"/>
        <c:lblOffset val="100"/>
        <c:noMultiLvlLbl val="0"/>
      </c:catAx>
      <c:valAx>
        <c:axId val="18661695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0">
                    <a:solidFill>
                      <a:srgbClr val="000000"/>
                    </a:solidFill>
                    <a:latin typeface="Calibri"/>
                  </a:rPr>
                  <a:t>Frequency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66169503"/>
        <c:crosses val="autoZero"/>
        <c:crossBetween val="between"/>
      </c:valAx>
      <c:spPr bwMode="auto">
        <a:prstGeom prst="rect">
          <a:avLst/>
        </a:prstGeom>
        <a:noFill/>
        <a:ln w="0">
          <a:noFill/>
        </a:ln>
      </c:spPr>
    </c:plotArea>
    <c:legend>
      <c:legendPos val="r"/>
      <c:layout/>
      <c:overlay val="0"/>
      <c:spPr bwMode="auto">
        <a:prstGeom prst="rect">
          <a:avLst/>
        </a:prstGeom>
        <a:noFill/>
        <a:ln w="0">
          <a:noFill/>
        </a:ln>
      </c:spPr>
      <c:txPr>
        <a:bodyPr/>
        <a:lstStyle/>
        <a:p>
          <a:pPr>
            <a:defRPr sz="1000" b="0" strike="noStrike" spc="0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>
      <a:off x="5329237" y="13137791"/>
      <a:ext cx="3248024" cy="2194641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 cap="flat" cmpd="sng" algn="ctr">
        <a:solidFill>
          <a:schemeClr val="lt1">
            <a:lumMod val="50000"/>
          </a:schemeClr>
        </a:solidFill>
        <a:round/>
      </a:ln>
    </cs:spPr>
    <cs:defRPr sz="900"/>
    <cs:bodyPr/>
  </cs:valueAxis>
  <cs:wall>
    <cs:lnRef idx="0"/>
    <cs:fillRef idx="0"/>
    <cs:effectRef idx="0"/>
    <cs:fontRef idx="minor">
      <a:schemeClr val="dk1"/>
    </cs:fontRef>
  </cs:wall>
  <cs:dataPointMarkerLayout symbol="circle" size="3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Relationship Id="rId2" Type="http://schemas.openxmlformats.org/officeDocument/2006/relationships/chart" Target="../charts/chart5.xml" /><Relationship Id="rId3" Type="http://schemas.openxmlformats.org/officeDocument/2006/relationships/chart" Target="../charts/chart6.xml" /><Relationship Id="rId4" Type="http://schemas.openxmlformats.org/officeDocument/2006/relationships/chart" Target="../charts/chart7.xml" /><Relationship Id="rId5" Type="http://schemas.openxmlformats.org/officeDocument/2006/relationships/chart" Target="../charts/chart8.xml" /><Relationship Id="rId6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457200</xdr:colOff>
      <xdr:row>5</xdr:row>
      <xdr:rowOff>171450</xdr:rowOff>
    </xdr:from>
    <xdr:to>
      <xdr:col>10</xdr:col>
      <xdr:colOff>152400</xdr:colOff>
      <xdr:row>20</xdr:row>
      <xdr:rowOff>171450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2</xdr:col>
      <xdr:colOff>579120</xdr:colOff>
      <xdr:row>30</xdr:row>
      <xdr:rowOff>11430</xdr:rowOff>
    </xdr:from>
    <xdr:to>
      <xdr:col>10</xdr:col>
      <xdr:colOff>274320</xdr:colOff>
      <xdr:row>45</xdr:row>
      <xdr:rowOff>11430</xdr:rowOff>
    </xdr:to>
    <xdr:graphicFrame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2</xdr:col>
      <xdr:colOff>495299</xdr:colOff>
      <xdr:row>53</xdr:row>
      <xdr:rowOff>156210</xdr:rowOff>
    </xdr:from>
    <xdr:to>
      <xdr:col>10</xdr:col>
      <xdr:colOff>190500</xdr:colOff>
      <xdr:row>68</xdr:row>
      <xdr:rowOff>156210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7</xdr:col>
      <xdr:colOff>647699</xdr:colOff>
      <xdr:row>2</xdr:row>
      <xdr:rowOff>23812</xdr:rowOff>
    </xdr:from>
    <xdr:to>
      <xdr:col>12</xdr:col>
      <xdr:colOff>228599</xdr:colOff>
      <xdr:row>15</xdr:row>
      <xdr:rowOff>27643</xdr:rowOff>
    </xdr:to>
    <xdr:graphicFrame>
      <xdr:nvGraphicFramePr>
        <xdr:cNvPr id="718200534" name=""/>
        <xdr:cNvGraphicFramePr>
          <a:graphicFrameLocks xmlns:a="http://schemas.openxmlformats.org/drawingml/2006/main"/>
        </xdr:cNvGraphicFramePr>
      </xdr:nvGraphicFramePr>
      <xdr:xfrm rot="0">
        <a:off x="5448299" y="395287"/>
        <a:ext cx="3009899" cy="243270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514349</xdr:colOff>
      <xdr:row>15</xdr:row>
      <xdr:rowOff>128587</xdr:rowOff>
    </xdr:from>
    <xdr:to>
      <xdr:col>12</xdr:col>
      <xdr:colOff>361949</xdr:colOff>
      <xdr:row>28</xdr:row>
      <xdr:rowOff>75628</xdr:rowOff>
    </xdr:to>
    <xdr:graphicFrame>
      <xdr:nvGraphicFramePr>
        <xdr:cNvPr id="232975052" name=""/>
        <xdr:cNvGraphicFramePr>
          <a:graphicFrameLocks xmlns:a="http://schemas.openxmlformats.org/drawingml/2006/main"/>
        </xdr:cNvGraphicFramePr>
      </xdr:nvGraphicFramePr>
      <xdr:xfrm rot="0">
        <a:off x="5314949" y="2928937"/>
        <a:ext cx="3276599" cy="255212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514349</xdr:colOff>
      <xdr:row>29</xdr:row>
      <xdr:rowOff>147637</xdr:rowOff>
    </xdr:from>
    <xdr:to>
      <xdr:col>12</xdr:col>
      <xdr:colOff>228599</xdr:colOff>
      <xdr:row>41</xdr:row>
      <xdr:rowOff>127085</xdr:rowOff>
    </xdr:to>
    <xdr:graphicFrame>
      <xdr:nvGraphicFramePr>
        <xdr:cNvPr id="200060271" name=""/>
        <xdr:cNvGraphicFramePr>
          <a:graphicFrameLocks xmlns:a="http://schemas.openxmlformats.org/drawingml/2006/main"/>
        </xdr:cNvGraphicFramePr>
      </xdr:nvGraphicFramePr>
      <xdr:xfrm rot="0">
        <a:off x="5314949" y="5729287"/>
        <a:ext cx="3143250" cy="2408322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585787</xdr:colOff>
      <xdr:row>42</xdr:row>
      <xdr:rowOff>66674</xdr:rowOff>
    </xdr:from>
    <xdr:to>
      <xdr:col>12</xdr:col>
      <xdr:colOff>157162</xdr:colOff>
      <xdr:row>53</xdr:row>
      <xdr:rowOff>22881</xdr:rowOff>
    </xdr:to>
    <xdr:graphicFrame>
      <xdr:nvGraphicFramePr>
        <xdr:cNvPr id="463689068" name=""/>
        <xdr:cNvGraphicFramePr>
          <a:graphicFrameLocks xmlns:a="http://schemas.openxmlformats.org/drawingml/2006/main"/>
        </xdr:cNvGraphicFramePr>
      </xdr:nvGraphicFramePr>
      <xdr:xfrm rot="0">
        <a:off x="5386387" y="8253412"/>
        <a:ext cx="3000375" cy="220886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566737</xdr:colOff>
      <xdr:row>54</xdr:row>
      <xdr:rowOff>104774</xdr:rowOff>
    </xdr:from>
    <xdr:to>
      <xdr:col>12</xdr:col>
      <xdr:colOff>157162</xdr:colOff>
      <xdr:row>65</xdr:row>
      <xdr:rowOff>166117</xdr:rowOff>
    </xdr:to>
    <xdr:graphicFrame>
      <xdr:nvGraphicFramePr>
        <xdr:cNvPr id="1187872644" name=""/>
        <xdr:cNvGraphicFramePr>
          <a:graphicFrameLocks xmlns:a="http://schemas.openxmlformats.org/drawingml/2006/main"/>
        </xdr:cNvGraphicFramePr>
      </xdr:nvGraphicFramePr>
      <xdr:xfrm rot="0">
        <a:off x="5367337" y="10720387"/>
        <a:ext cx="3019424" cy="2147317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528637</xdr:colOff>
      <xdr:row>67</xdr:row>
      <xdr:rowOff>83778</xdr:rowOff>
    </xdr:from>
    <xdr:to>
      <xdr:col>12</xdr:col>
      <xdr:colOff>347662</xdr:colOff>
      <xdr:row>79</xdr:row>
      <xdr:rowOff>25758</xdr:rowOff>
    </xdr:to>
    <xdr:graphicFrame>
      <xdr:nvGraphicFramePr>
        <xdr:cNvPr id="1803969741" name=""/>
        <xdr:cNvGraphicFramePr>
          <a:graphicFrameLocks xmlns:a="http://schemas.openxmlformats.org/drawingml/2006/main"/>
        </xdr:cNvGraphicFramePr>
      </xdr:nvGraphicFramePr>
      <xdr:xfrm rot="0">
        <a:off x="5329237" y="13137791"/>
        <a:ext cx="3248024" cy="2194641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Histogram_Practi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gram"/>
    </sheetNames>
    <sheetDataSet>
      <sheetData sheetId="0">
        <row r="4">
          <cell r="D4" t="n">
            <v/>
          </cell>
          <cell r="E4" t="str">
            <v>Frequency</v>
          </cell>
        </row>
        <row r="5">
          <cell r="D5" t="str">
            <v>45-50</v>
          </cell>
          <cell r="E5" t="n">
            <v>2</v>
          </cell>
        </row>
        <row r="6">
          <cell r="D6" t="str">
            <v>51-56</v>
          </cell>
          <cell r="E6" t="n">
            <v>7</v>
          </cell>
        </row>
        <row r="7">
          <cell r="D7" t="str">
            <v>57-62</v>
          </cell>
          <cell r="E7" t="n">
            <v>10</v>
          </cell>
        </row>
        <row r="8">
          <cell r="D8" t="str">
            <v>63-68</v>
          </cell>
          <cell r="E8" t="n">
            <v>20</v>
          </cell>
        </row>
        <row r="9">
          <cell r="D9" t="str">
            <v>69-74</v>
          </cell>
          <cell r="E9" t="n">
            <v>18</v>
          </cell>
        </row>
        <row r="10">
          <cell r="D10" t="str">
            <v>75-80</v>
          </cell>
          <cell r="E10" t="n">
            <v>15</v>
          </cell>
        </row>
        <row r="11">
          <cell r="D11" t="str">
            <v>81-86</v>
          </cell>
          <cell r="E11" t="n">
            <v>6</v>
          </cell>
        </row>
        <row r="12">
          <cell r="D12" t="str">
            <v>87-92</v>
          </cell>
          <cell r="E12" t="n">
            <v>3</v>
          </cell>
        </row>
        <row r="16">
          <cell r="D16" t="n">
            <v/>
          </cell>
          <cell r="E16" t="str">
            <v xml:space="preserve">No. of Balls</v>
          </cell>
        </row>
        <row r="17">
          <cell r="D17" t="str">
            <v>25</v>
          </cell>
          <cell r="E17" t="n">
            <v>6</v>
          </cell>
        </row>
        <row r="18">
          <cell r="D18" t="str">
            <v>35</v>
          </cell>
          <cell r="E18" t="n">
            <v>8</v>
          </cell>
        </row>
        <row r="19">
          <cell r="D19" t="str">
            <v>45</v>
          </cell>
          <cell r="E19" t="n">
            <v>25</v>
          </cell>
        </row>
        <row r="20">
          <cell r="D20" t="str">
            <v>49</v>
          </cell>
          <cell r="E20" t="n">
            <v>14</v>
          </cell>
        </row>
        <row r="21">
          <cell r="D21" t="str">
            <v>65</v>
          </cell>
          <cell r="E21" t="n">
            <v>30</v>
          </cell>
        </row>
        <row r="22">
          <cell r="D22" t="str">
            <v>69</v>
          </cell>
          <cell r="E22" t="n">
            <v>20</v>
          </cell>
        </row>
        <row r="23">
          <cell r="D23" t="str">
            <v>76</v>
          </cell>
          <cell r="E23" t="n">
            <v>29</v>
          </cell>
        </row>
        <row r="24">
          <cell r="D24" t="str">
            <v>85</v>
          </cell>
          <cell r="E24" t="n">
            <v>35</v>
          </cell>
        </row>
        <row r="25">
          <cell r="D25" t="str">
            <v>85</v>
          </cell>
          <cell r="E25" t="n">
            <v>25</v>
          </cell>
        </row>
        <row r="26">
          <cell r="D26" t="str">
            <v>95</v>
          </cell>
          <cell r="E26" t="n">
            <v>35</v>
          </cell>
        </row>
        <row r="30">
          <cell r="D30" t="n">
            <v/>
          </cell>
          <cell r="E30" t="str">
            <v xml:space="preserve">No. of Students</v>
          </cell>
        </row>
        <row r="31">
          <cell r="D31" t="str">
            <v>25</v>
          </cell>
          <cell r="E31" t="n">
            <v>3</v>
          </cell>
        </row>
        <row r="32">
          <cell r="D32" t="str">
            <v>36</v>
          </cell>
          <cell r="E32" t="n">
            <v>10</v>
          </cell>
        </row>
        <row r="33">
          <cell r="D33" t="str">
            <v>51</v>
          </cell>
          <cell r="E33" t="n">
            <v>5</v>
          </cell>
        </row>
        <row r="34">
          <cell r="D34" t="str">
            <v>56</v>
          </cell>
          <cell r="E34" t="n">
            <v>6</v>
          </cell>
        </row>
        <row r="35">
          <cell r="D35" t="str">
            <v>62</v>
          </cell>
          <cell r="E35" t="n">
            <v>9</v>
          </cell>
        </row>
        <row r="36">
          <cell r="D36" t="str">
            <v>65</v>
          </cell>
          <cell r="E36" t="n">
            <v>8</v>
          </cell>
        </row>
        <row r="37">
          <cell r="D37" t="str">
            <v>68</v>
          </cell>
          <cell r="E37" t="n">
            <v>11</v>
          </cell>
        </row>
        <row r="38">
          <cell r="D38" t="str">
            <v>70</v>
          </cell>
          <cell r="E38" t="n">
            <v>2</v>
          </cell>
        </row>
        <row r="39">
          <cell r="D39" t="str">
            <v>75</v>
          </cell>
          <cell r="E39" t="n">
            <v>7</v>
          </cell>
        </row>
        <row r="43">
          <cell r="D43" t="n">
            <v/>
          </cell>
          <cell r="E43" t="str">
            <v xml:space="preserve">No. of Trains</v>
          </cell>
        </row>
        <row r="44">
          <cell r="D44" t="str">
            <v>30-40</v>
          </cell>
          <cell r="E44" t="n">
            <v>9</v>
          </cell>
        </row>
        <row r="45">
          <cell r="D45" t="str">
            <v>40-50</v>
          </cell>
          <cell r="E45" t="n">
            <v>15</v>
          </cell>
        </row>
        <row r="46">
          <cell r="D46" t="str">
            <v>50-60</v>
          </cell>
          <cell r="E46" t="n">
            <v>16</v>
          </cell>
        </row>
        <row r="47">
          <cell r="D47" t="str">
            <v>60-70</v>
          </cell>
          <cell r="E47" t="n">
            <v>8</v>
          </cell>
        </row>
        <row r="48">
          <cell r="D48" t="str">
            <v>70-80</v>
          </cell>
          <cell r="E48" t="n">
            <v>14</v>
          </cell>
        </row>
        <row r="49">
          <cell r="D49" t="str">
            <v>80-90</v>
          </cell>
          <cell r="E49" t="n">
            <v>15</v>
          </cell>
        </row>
        <row r="50">
          <cell r="D50" t="str">
            <v>90-100</v>
          </cell>
          <cell r="E50" t="n">
            <v>13</v>
          </cell>
        </row>
        <row r="51">
          <cell r="D51" t="str">
            <v>100-110</v>
          </cell>
          <cell r="E51" t="n">
            <v>17</v>
          </cell>
        </row>
        <row r="55">
          <cell r="D55" t="n">
            <v/>
          </cell>
          <cell r="E55" t="str">
            <v xml:space="preserve">No. of Students</v>
          </cell>
        </row>
        <row r="56">
          <cell r="D56" t="str">
            <v>45-50</v>
          </cell>
          <cell r="E56" t="n">
            <v>12</v>
          </cell>
        </row>
        <row r="57">
          <cell r="D57" t="str">
            <v>50-55</v>
          </cell>
          <cell r="E57" t="n">
            <v>15</v>
          </cell>
        </row>
        <row r="58">
          <cell r="D58" t="str">
            <v>55-60</v>
          </cell>
          <cell r="E58" t="n">
            <v>9</v>
          </cell>
        </row>
        <row r="59">
          <cell r="D59" t="str">
            <v>60-65</v>
          </cell>
          <cell r="E59" t="n">
            <v>8</v>
          </cell>
        </row>
        <row r="60">
          <cell r="D60" t="str">
            <v>65-70</v>
          </cell>
          <cell r="E60" t="n">
            <v>15</v>
          </cell>
        </row>
        <row r="61">
          <cell r="D61" t="str">
            <v>70-75</v>
          </cell>
          <cell r="E61" t="n">
            <v>18</v>
          </cell>
        </row>
        <row r="62">
          <cell r="D62" t="str">
            <v>75-80</v>
          </cell>
          <cell r="E62" t="n">
            <v>14</v>
          </cell>
        </row>
        <row r="63">
          <cell r="D63" t="str">
            <v>80-85</v>
          </cell>
          <cell r="E63" t="n">
            <v>10</v>
          </cell>
        </row>
        <row r="64">
          <cell r="D64" t="str">
            <v>85-90</v>
          </cell>
          <cell r="E64" t="n">
            <v>5</v>
          </cell>
        </row>
        <row r="68">
          <cell r="D68" t="n">
            <v/>
          </cell>
          <cell r="E68" t="str">
            <v>Frequency</v>
          </cell>
        </row>
        <row r="69">
          <cell r="D69" t="str">
            <v>45-50</v>
          </cell>
          <cell r="E69" t="n">
            <v>2</v>
          </cell>
        </row>
        <row r="70">
          <cell r="D70" t="str">
            <v>51-56</v>
          </cell>
          <cell r="E70" t="n">
            <v>7</v>
          </cell>
        </row>
        <row r="71">
          <cell r="D71" t="str">
            <v>57-62</v>
          </cell>
          <cell r="E71" t="n">
            <v>10</v>
          </cell>
        </row>
        <row r="72">
          <cell r="D72" t="str">
            <v>63-68</v>
          </cell>
          <cell r="E72" t="n">
            <v>20</v>
          </cell>
        </row>
        <row r="73">
          <cell r="D73" t="str">
            <v>69-74</v>
          </cell>
          <cell r="E73" t="n">
            <v>18</v>
          </cell>
        </row>
        <row r="74">
          <cell r="D74" t="str">
            <v>75-80</v>
          </cell>
          <cell r="E74" t="n">
            <v>15</v>
          </cell>
        </row>
        <row r="75">
          <cell r="D75" t="str">
            <v>81-86</v>
          </cell>
          <cell r="E75" t="n">
            <v>6</v>
          </cell>
        </row>
        <row r="76">
          <cell r="D76" t="str">
            <v>87-92</v>
          </cell>
          <cell r="E76" t="n">
            <v>3</v>
          </cell>
        </row>
      </sheetData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7" activeCellId="0" sqref="H7"/>
    </sheetView>
  </sheetViews>
  <sheetFormatPr defaultRowHeight="13.800000000000001"/>
  <cols>
    <col customWidth="1" min="1" max="1" style="1" width="8.88671875"/>
    <col min="2" max="16384" style="1" width="8.88671875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5" t="s">
        <v>1</v>
      </c>
    </row>
    <row r="5">
      <c r="A5" s="6" t="s">
        <v>2</v>
      </c>
      <c r="B5" s="6"/>
      <c r="C5" s="6"/>
      <c r="D5" s="6"/>
    </row>
    <row r="6">
      <c r="A6" s="6">
        <v>23</v>
      </c>
      <c r="B6" s="6">
        <v>35</v>
      </c>
      <c r="C6" s="6">
        <v>41</v>
      </c>
      <c r="D6" s="7">
        <v>28</v>
      </c>
    </row>
    <row r="7">
      <c r="A7" s="6">
        <v>36</v>
      </c>
      <c r="B7" s="6">
        <v>52</v>
      </c>
      <c r="C7" s="6">
        <v>47</v>
      </c>
      <c r="D7" s="7">
        <v>31</v>
      </c>
    </row>
    <row r="8">
      <c r="A8" s="6">
        <v>29</v>
      </c>
      <c r="B8" s="6">
        <v>44</v>
      </c>
      <c r="C8" s="6">
        <v>38</v>
      </c>
      <c r="D8" s="7">
        <v>55</v>
      </c>
    </row>
    <row r="9">
      <c r="A9" s="6">
        <v>26</v>
      </c>
      <c r="B9" s="6">
        <v>43</v>
      </c>
      <c r="C9" s="6">
        <v>33</v>
      </c>
      <c r="D9" s="7">
        <v>49</v>
      </c>
    </row>
    <row r="10">
      <c r="A10" s="6">
        <v>61</v>
      </c>
      <c r="B10" s="6">
        <v>37</v>
      </c>
      <c r="C10" s="6">
        <v>24</v>
      </c>
      <c r="D10" s="7">
        <v>58</v>
      </c>
    </row>
    <row r="12">
      <c r="B12" s="8" t="s">
        <v>3</v>
      </c>
      <c r="C12" s="9" t="s">
        <v>4</v>
      </c>
      <c r="D12" s="10"/>
      <c r="E12" s="10"/>
      <c r="F12" s="10"/>
      <c r="G12" s="10"/>
      <c r="H12" s="11"/>
    </row>
    <row r="13">
      <c r="B13" s="6">
        <v>2</v>
      </c>
      <c r="C13" s="7">
        <v>3</v>
      </c>
      <c r="D13" s="7">
        <v>4</v>
      </c>
      <c r="E13" s="7">
        <v>6</v>
      </c>
      <c r="F13" s="7">
        <v>8</v>
      </c>
      <c r="G13" s="7">
        <v>9</v>
      </c>
      <c r="H13" s="12"/>
    </row>
    <row r="14">
      <c r="B14" s="6">
        <v>3</v>
      </c>
      <c r="C14" s="7">
        <v>1</v>
      </c>
      <c r="D14" s="7">
        <v>3</v>
      </c>
      <c r="E14" s="7">
        <v>5</v>
      </c>
      <c r="F14" s="7">
        <v>6</v>
      </c>
      <c r="G14" s="7">
        <v>7</v>
      </c>
      <c r="H14" s="7">
        <v>8</v>
      </c>
    </row>
    <row r="15">
      <c r="B15" s="6">
        <v>4</v>
      </c>
      <c r="C15" s="7">
        <v>1</v>
      </c>
      <c r="D15" s="7">
        <v>3</v>
      </c>
      <c r="E15" s="7">
        <v>4</v>
      </c>
      <c r="F15" s="7">
        <v>7</v>
      </c>
      <c r="G15" s="7">
        <v>9</v>
      </c>
      <c r="H15" s="12"/>
    </row>
    <row r="16">
      <c r="B16" s="6">
        <v>5</v>
      </c>
      <c r="C16" s="7">
        <v>2</v>
      </c>
      <c r="D16" s="7">
        <v>5</v>
      </c>
      <c r="E16" s="7">
        <v>8</v>
      </c>
      <c r="F16" s="12"/>
      <c r="G16" s="12"/>
      <c r="H16" s="12"/>
    </row>
    <row r="17">
      <c r="B17" s="6">
        <v>6</v>
      </c>
      <c r="C17" s="7">
        <v>1</v>
      </c>
      <c r="D17" s="12"/>
      <c r="E17" s="12"/>
      <c r="F17" s="12"/>
      <c r="G17" s="12"/>
      <c r="H17" s="12"/>
    </row>
    <row r="18">
      <c r="C18" s="13"/>
      <c r="D18" s="14"/>
      <c r="E18" s="14"/>
      <c r="F18" s="14"/>
      <c r="G18" s="14"/>
      <c r="H18" s="14"/>
    </row>
    <row r="20">
      <c r="A20" s="5" t="s">
        <v>5</v>
      </c>
    </row>
    <row r="21">
      <c r="A21" s="6" t="s">
        <v>6</v>
      </c>
      <c r="B21" s="6"/>
      <c r="C21" s="6"/>
      <c r="D21" s="6"/>
      <c r="E21" s="6"/>
      <c r="F21" s="6"/>
    </row>
    <row r="22">
      <c r="A22" s="15">
        <v>72</v>
      </c>
      <c r="B22" s="15">
        <v>85</v>
      </c>
      <c r="C22" s="15">
        <v>91</v>
      </c>
      <c r="D22" s="15">
        <v>63</v>
      </c>
      <c r="E22" s="15">
        <v>78</v>
      </c>
      <c r="F22" s="15">
        <v>88</v>
      </c>
    </row>
    <row r="23">
      <c r="A23" s="15">
        <v>74</v>
      </c>
      <c r="B23" s="15">
        <v>95</v>
      </c>
      <c r="C23" s="15">
        <v>67</v>
      </c>
      <c r="D23" s="15">
        <v>83</v>
      </c>
      <c r="E23" s="15">
        <v>70</v>
      </c>
      <c r="F23" s="15">
        <v>92</v>
      </c>
    </row>
    <row r="24">
      <c r="A24" s="15">
        <v>76</v>
      </c>
      <c r="B24" s="15">
        <v>61</v>
      </c>
      <c r="C24" s="15">
        <v>89</v>
      </c>
      <c r="D24" s="15">
        <v>84</v>
      </c>
      <c r="E24" s="15">
        <v>73</v>
      </c>
      <c r="F24" s="15">
        <v>96</v>
      </c>
    </row>
    <row r="26">
      <c r="B26" s="8" t="s">
        <v>3</v>
      </c>
      <c r="C26" s="9" t="s">
        <v>4</v>
      </c>
      <c r="D26" s="10"/>
      <c r="E26" s="10"/>
      <c r="F26" s="10"/>
      <c r="G26" s="10"/>
      <c r="H26" s="11"/>
    </row>
    <row r="27" ht="14.4">
      <c r="B27" s="6">
        <v>6</v>
      </c>
      <c r="C27" s="15">
        <v>1</v>
      </c>
      <c r="D27" s="15">
        <v>3</v>
      </c>
      <c r="E27" s="15">
        <v>7</v>
      </c>
      <c r="F27" s="16"/>
      <c r="G27" s="16"/>
      <c r="H27" s="16"/>
    </row>
    <row r="28">
      <c r="B28" s="6">
        <v>7</v>
      </c>
      <c r="C28" s="15">
        <v>0</v>
      </c>
      <c r="D28" s="15">
        <v>2</v>
      </c>
      <c r="E28" s="15">
        <v>3</v>
      </c>
      <c r="F28" s="15">
        <v>4</v>
      </c>
      <c r="G28" s="15">
        <v>6</v>
      </c>
      <c r="H28" s="15">
        <v>8</v>
      </c>
    </row>
    <row r="29" ht="14.4">
      <c r="B29" s="6">
        <v>8</v>
      </c>
      <c r="C29" s="15">
        <v>3</v>
      </c>
      <c r="D29" s="15">
        <v>4</v>
      </c>
      <c r="E29" s="15">
        <v>5</v>
      </c>
      <c r="F29" s="15">
        <v>8</v>
      </c>
      <c r="G29" s="15">
        <v>9</v>
      </c>
      <c r="H29" s="16"/>
    </row>
    <row r="30" ht="14.4">
      <c r="B30" s="6">
        <v>9</v>
      </c>
      <c r="C30" s="15">
        <v>1</v>
      </c>
      <c r="D30" s="15">
        <v>2</v>
      </c>
      <c r="E30" s="15">
        <v>5</v>
      </c>
      <c r="F30" s="15">
        <v>6</v>
      </c>
      <c r="G30" s="16"/>
      <c r="H30" s="16"/>
    </row>
    <row r="33">
      <c r="A33" s="5" t="s">
        <v>7</v>
      </c>
    </row>
    <row r="34">
      <c r="A34" s="6" t="s">
        <v>8</v>
      </c>
      <c r="B34" s="6" t="s">
        <v>3</v>
      </c>
      <c r="C34" s="6" t="s">
        <v>4</v>
      </c>
    </row>
    <row r="35">
      <c r="A35" s="15">
        <v>2.7000000000000002</v>
      </c>
      <c r="B35" s="6" t="str">
        <f t="shared" ref="B35:B48" si="0">LEFT(A35)</f>
        <v>2</v>
      </c>
      <c r="C35" s="6" t="str">
        <f t="shared" ref="C35:C58" si="1">RIGHT(A35)</f>
        <v>7</v>
      </c>
    </row>
    <row r="36">
      <c r="A36" s="15">
        <v>3.8999999999999999</v>
      </c>
      <c r="B36" s="6" t="str">
        <f t="shared" si="0"/>
        <v>3</v>
      </c>
      <c r="C36" s="6" t="str">
        <f t="shared" si="1"/>
        <v>9</v>
      </c>
    </row>
    <row r="37">
      <c r="A37" s="15">
        <v>4.2000000000000002</v>
      </c>
      <c r="B37" s="6" t="str">
        <f t="shared" si="0"/>
        <v>4</v>
      </c>
      <c r="C37" s="6" t="str">
        <f t="shared" si="1"/>
        <v>2</v>
      </c>
    </row>
    <row r="38">
      <c r="A38" s="15">
        <v>4.5</v>
      </c>
      <c r="B38" s="6" t="str">
        <f t="shared" si="0"/>
        <v>4</v>
      </c>
      <c r="C38" s="6" t="str">
        <f t="shared" si="1"/>
        <v>5</v>
      </c>
      <c r="E38" s="8" t="s">
        <v>3</v>
      </c>
      <c r="F38" s="9" t="s">
        <v>4</v>
      </c>
      <c r="G38" s="10"/>
      <c r="H38" s="11"/>
    </row>
    <row r="39" ht="14.4">
      <c r="A39" s="15">
        <v>5.7999999999999998</v>
      </c>
      <c r="B39" s="6" t="str">
        <f t="shared" si="0"/>
        <v>5</v>
      </c>
      <c r="C39" s="6" t="str">
        <f t="shared" si="1"/>
        <v>8</v>
      </c>
      <c r="E39" s="6">
        <v>2</v>
      </c>
      <c r="F39" s="15">
        <v>7</v>
      </c>
      <c r="G39" s="16"/>
      <c r="H39" s="16"/>
    </row>
    <row r="40" ht="14.4">
      <c r="A40" s="15">
        <v>6.2999999999999998</v>
      </c>
      <c r="B40" s="6" t="str">
        <f t="shared" si="0"/>
        <v>6</v>
      </c>
      <c r="C40" s="6" t="str">
        <f t="shared" si="1"/>
        <v>3</v>
      </c>
      <c r="E40" s="6">
        <v>3</v>
      </c>
      <c r="F40" s="15">
        <v>9</v>
      </c>
      <c r="G40" s="16"/>
      <c r="H40" s="16"/>
    </row>
    <row r="41" ht="14.4">
      <c r="A41" s="15">
        <v>6.4000000000000004</v>
      </c>
      <c r="B41" s="6" t="str">
        <f t="shared" si="0"/>
        <v>6</v>
      </c>
      <c r="C41" s="6" t="str">
        <f t="shared" si="1"/>
        <v>4</v>
      </c>
      <c r="E41" s="6">
        <v>4</v>
      </c>
      <c r="F41" s="15">
        <v>2</v>
      </c>
      <c r="G41" s="15">
        <v>5</v>
      </c>
      <c r="H41" s="16"/>
    </row>
    <row r="42" ht="14.4">
      <c r="A42" s="15">
        <v>7.0999999999999996</v>
      </c>
      <c r="B42" s="6" t="str">
        <f t="shared" si="0"/>
        <v>7</v>
      </c>
      <c r="C42" s="6" t="str">
        <f t="shared" si="1"/>
        <v>1</v>
      </c>
      <c r="E42" s="6">
        <v>5</v>
      </c>
      <c r="F42" s="15">
        <v>8</v>
      </c>
      <c r="G42" s="16"/>
      <c r="H42" s="16"/>
    </row>
    <row r="43" ht="14.4">
      <c r="A43" s="15">
        <v>7.4000000000000004</v>
      </c>
      <c r="B43" s="6" t="str">
        <f t="shared" si="0"/>
        <v>7</v>
      </c>
      <c r="C43" s="6" t="str">
        <f t="shared" si="1"/>
        <v>4</v>
      </c>
      <c r="E43" s="6">
        <v>6</v>
      </c>
      <c r="F43" s="15">
        <v>3</v>
      </c>
      <c r="G43" s="15">
        <v>4</v>
      </c>
      <c r="H43" s="16"/>
    </row>
    <row r="44">
      <c r="A44" s="15">
        <v>7.7999999999999998</v>
      </c>
      <c r="B44" s="6" t="str">
        <f t="shared" si="0"/>
        <v>7</v>
      </c>
      <c r="C44" s="6" t="str">
        <f t="shared" si="1"/>
        <v>8</v>
      </c>
      <c r="E44" s="6">
        <v>7</v>
      </c>
      <c r="F44" s="15">
        <v>1</v>
      </c>
      <c r="G44" s="15">
        <v>4</v>
      </c>
      <c r="H44" s="15">
        <v>8</v>
      </c>
    </row>
    <row r="45" ht="14.4">
      <c r="A45" s="15">
        <v>8.1999999999999993</v>
      </c>
      <c r="B45" s="6" t="str">
        <f t="shared" si="0"/>
        <v>8</v>
      </c>
      <c r="C45" s="6" t="str">
        <f t="shared" si="1"/>
        <v>2</v>
      </c>
      <c r="E45" s="6">
        <v>8</v>
      </c>
      <c r="F45" s="15">
        <v>2</v>
      </c>
      <c r="G45" s="15">
        <v>7</v>
      </c>
      <c r="H45" s="16"/>
    </row>
    <row r="46" ht="14.4">
      <c r="A46" s="15">
        <v>8.6999999999999993</v>
      </c>
      <c r="B46" s="6" t="str">
        <f t="shared" si="0"/>
        <v>8</v>
      </c>
      <c r="C46" s="6" t="str">
        <f t="shared" si="1"/>
        <v>7</v>
      </c>
      <c r="E46" s="6">
        <v>9</v>
      </c>
      <c r="F46" s="15">
        <v>1</v>
      </c>
      <c r="G46" s="15">
        <v>6</v>
      </c>
      <c r="H46" s="16"/>
    </row>
    <row r="47" ht="14.4">
      <c r="A47" s="15">
        <v>9.0999999999999996</v>
      </c>
      <c r="B47" s="6" t="str">
        <f t="shared" si="0"/>
        <v>9</v>
      </c>
      <c r="C47" s="6" t="str">
        <f t="shared" si="1"/>
        <v>1</v>
      </c>
      <c r="E47" s="6">
        <v>10</v>
      </c>
      <c r="F47" s="15">
        <v>3</v>
      </c>
      <c r="G47" s="15">
        <v>7</v>
      </c>
      <c r="H47" s="16"/>
    </row>
    <row r="48" ht="14.4">
      <c r="A48" s="15">
        <v>9.5999999999999996</v>
      </c>
      <c r="B48" s="6" t="str">
        <f t="shared" si="0"/>
        <v>9</v>
      </c>
      <c r="C48" s="6" t="str">
        <f t="shared" si="1"/>
        <v>6</v>
      </c>
      <c r="E48" s="6">
        <v>11</v>
      </c>
      <c r="F48" s="15">
        <v>2</v>
      </c>
      <c r="G48" s="15">
        <v>9</v>
      </c>
      <c r="H48" s="16"/>
    </row>
    <row r="49" ht="14.4">
      <c r="A49" s="15">
        <v>10.300000000000001</v>
      </c>
      <c r="B49" s="6" t="str">
        <f t="shared" ref="B49:B58" si="2">LEFT(A49,2)</f>
        <v>10</v>
      </c>
      <c r="C49" s="6" t="str">
        <f t="shared" si="1"/>
        <v>3</v>
      </c>
      <c r="E49" s="6">
        <v>12</v>
      </c>
      <c r="F49" s="15">
        <v>5</v>
      </c>
      <c r="G49" s="16"/>
      <c r="H49" s="16"/>
    </row>
    <row r="50" ht="14.4">
      <c r="A50" s="15">
        <v>10.699999999999999</v>
      </c>
      <c r="B50" s="6" t="str">
        <f t="shared" si="2"/>
        <v>10</v>
      </c>
      <c r="C50" s="6" t="str">
        <f t="shared" si="1"/>
        <v>7</v>
      </c>
      <c r="E50" s="6">
        <v>13</v>
      </c>
      <c r="F50" s="15">
        <v>4</v>
      </c>
      <c r="G50" s="15">
        <v>8</v>
      </c>
      <c r="H50" s="16"/>
    </row>
    <row r="51" ht="14.4">
      <c r="A51" s="15">
        <v>11.199999999999999</v>
      </c>
      <c r="B51" s="6" t="str">
        <f t="shared" si="2"/>
        <v>11</v>
      </c>
      <c r="C51" s="6" t="str">
        <f t="shared" si="1"/>
        <v>2</v>
      </c>
      <c r="E51" s="6">
        <v>14</v>
      </c>
      <c r="F51" s="15">
        <v>6</v>
      </c>
      <c r="G51" s="16"/>
      <c r="H51" s="16"/>
    </row>
    <row r="52" ht="14.4">
      <c r="A52" s="15">
        <v>11.9</v>
      </c>
      <c r="B52" s="6" t="str">
        <f t="shared" si="2"/>
        <v>11</v>
      </c>
      <c r="C52" s="6" t="str">
        <f t="shared" si="1"/>
        <v>9</v>
      </c>
      <c r="E52" s="6">
        <v>15</v>
      </c>
      <c r="F52" s="15">
        <v>3</v>
      </c>
      <c r="G52" s="16"/>
      <c r="H52" s="16"/>
    </row>
    <row r="53" ht="14.4">
      <c r="A53" s="15">
        <v>12.5</v>
      </c>
      <c r="B53" s="6" t="str">
        <f t="shared" si="2"/>
        <v>12</v>
      </c>
      <c r="C53" s="6" t="str">
        <f t="shared" si="1"/>
        <v>5</v>
      </c>
      <c r="E53" s="6">
        <v>16</v>
      </c>
      <c r="F53" s="15">
        <v>1</v>
      </c>
      <c r="G53" s="16"/>
      <c r="H53" s="16"/>
    </row>
    <row r="54">
      <c r="A54" s="15">
        <v>13.4</v>
      </c>
      <c r="B54" s="6" t="str">
        <f t="shared" si="2"/>
        <v>13</v>
      </c>
      <c r="C54" s="6" t="str">
        <f t="shared" si="1"/>
        <v>4</v>
      </c>
    </row>
    <row r="55">
      <c r="A55" s="15">
        <v>13.800000000000001</v>
      </c>
      <c r="B55" s="6" t="str">
        <f t="shared" si="2"/>
        <v>13</v>
      </c>
      <c r="C55" s="6" t="str">
        <f t="shared" si="1"/>
        <v>8</v>
      </c>
    </row>
    <row r="56">
      <c r="A56" s="15">
        <v>14.6</v>
      </c>
      <c r="B56" s="6" t="str">
        <f t="shared" si="2"/>
        <v>14</v>
      </c>
      <c r="C56" s="6" t="str">
        <f t="shared" si="1"/>
        <v>6</v>
      </c>
    </row>
    <row r="57">
      <c r="A57" s="15">
        <v>15.300000000000001</v>
      </c>
      <c r="B57" s="6" t="str">
        <f t="shared" si="2"/>
        <v>15</v>
      </c>
      <c r="C57" s="6" t="str">
        <f t="shared" si="1"/>
        <v>3</v>
      </c>
    </row>
    <row r="58">
      <c r="A58" s="15">
        <v>16.100000000000001</v>
      </c>
      <c r="B58" s="6" t="str">
        <f t="shared" si="2"/>
        <v>16</v>
      </c>
      <c r="C58" s="6" t="str">
        <f t="shared" si="1"/>
        <v>1</v>
      </c>
    </row>
  </sheetData>
  <mergeCells count="6">
    <mergeCell ref="F38:H38"/>
    <mergeCell ref="A5:D5"/>
    <mergeCell ref="A21:F21"/>
    <mergeCell ref="A1:L2"/>
    <mergeCell ref="C12:H12"/>
    <mergeCell ref="C26:H2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2" activeCellId="0" sqref="E52"/>
    </sheetView>
  </sheetViews>
  <sheetFormatPr defaultRowHeight="14.25"/>
  <cols>
    <col min="1" max="16384" style="17" width="8.88671875"/>
  </cols>
  <sheetData>
    <row r="1">
      <c r="A1" s="18" t="s">
        <v>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4">
      <c r="A4" s="19" t="s">
        <v>1</v>
      </c>
    </row>
    <row r="5">
      <c r="A5" s="16" t="s">
        <v>10</v>
      </c>
      <c r="B5" s="16" t="s">
        <v>11</v>
      </c>
    </row>
    <row r="6">
      <c r="A6" s="20">
        <v>0</v>
      </c>
      <c r="B6" s="20">
        <f t="shared" ref="B6:B9" si="3">COUNTIF($A$6:$A6,A6)</f>
        <v>1</v>
      </c>
    </row>
    <row r="7">
      <c r="A7" s="20">
        <v>0</v>
      </c>
      <c r="B7" s="20">
        <f t="shared" si="3"/>
        <v>2</v>
      </c>
    </row>
    <row r="8">
      <c r="A8" s="20">
        <v>1</v>
      </c>
      <c r="B8" s="20">
        <f t="shared" si="3"/>
        <v>1</v>
      </c>
    </row>
    <row r="9">
      <c r="A9" s="20">
        <v>1</v>
      </c>
      <c r="B9" s="20">
        <f t="shared" si="3"/>
        <v>2</v>
      </c>
    </row>
    <row r="10">
      <c r="A10" s="20">
        <v>1</v>
      </c>
      <c r="B10" s="20">
        <f t="shared" ref="B10:B25" si="4">COUNTIF($A$6:$A10,A10)</f>
        <v>3</v>
      </c>
    </row>
    <row r="11">
      <c r="A11" s="20">
        <v>1</v>
      </c>
      <c r="B11" s="20">
        <f t="shared" si="4"/>
        <v>4</v>
      </c>
    </row>
    <row r="12">
      <c r="A12" s="20">
        <v>2</v>
      </c>
      <c r="B12" s="20">
        <f t="shared" si="4"/>
        <v>1</v>
      </c>
    </row>
    <row r="13">
      <c r="A13" s="20">
        <v>2</v>
      </c>
      <c r="B13" s="20">
        <f t="shared" si="4"/>
        <v>2</v>
      </c>
    </row>
    <row r="14">
      <c r="A14" s="20">
        <v>2</v>
      </c>
      <c r="B14" s="20">
        <f t="shared" si="4"/>
        <v>3</v>
      </c>
    </row>
    <row r="15">
      <c r="A15" s="20">
        <v>2</v>
      </c>
      <c r="B15" s="20">
        <f t="shared" si="4"/>
        <v>4</v>
      </c>
    </row>
    <row r="16">
      <c r="A16" s="20">
        <v>2</v>
      </c>
      <c r="B16" s="20">
        <f t="shared" si="4"/>
        <v>5</v>
      </c>
    </row>
    <row r="17">
      <c r="A17" s="20">
        <v>2</v>
      </c>
      <c r="B17" s="20">
        <f t="shared" si="4"/>
        <v>6</v>
      </c>
    </row>
    <row r="18">
      <c r="A18" s="20">
        <v>3</v>
      </c>
      <c r="B18" s="20">
        <f t="shared" si="4"/>
        <v>1</v>
      </c>
    </row>
    <row r="19">
      <c r="A19" s="20">
        <v>3</v>
      </c>
      <c r="B19" s="20">
        <f t="shared" si="4"/>
        <v>2</v>
      </c>
    </row>
    <row r="20">
      <c r="A20" s="20">
        <v>3</v>
      </c>
      <c r="B20" s="20">
        <f t="shared" si="4"/>
        <v>3</v>
      </c>
    </row>
    <row r="21">
      <c r="A21" s="20">
        <v>3</v>
      </c>
      <c r="B21" s="20">
        <f t="shared" si="4"/>
        <v>4</v>
      </c>
    </row>
    <row r="22">
      <c r="A22" s="20">
        <v>4</v>
      </c>
      <c r="B22" s="20">
        <f t="shared" si="4"/>
        <v>1</v>
      </c>
    </row>
    <row r="23">
      <c r="A23" s="20">
        <v>4</v>
      </c>
      <c r="B23" s="20">
        <f t="shared" si="4"/>
        <v>2</v>
      </c>
    </row>
    <row r="24">
      <c r="A24" s="20">
        <v>4</v>
      </c>
      <c r="B24" s="20">
        <f t="shared" si="4"/>
        <v>3</v>
      </c>
    </row>
    <row r="25">
      <c r="A25" s="20">
        <v>5</v>
      </c>
      <c r="B25" s="20">
        <f t="shared" si="4"/>
        <v>1</v>
      </c>
    </row>
    <row r="28">
      <c r="A28" s="19" t="s">
        <v>5</v>
      </c>
    </row>
    <row r="29">
      <c r="A29" s="16" t="s">
        <v>10</v>
      </c>
      <c r="B29" s="16" t="s">
        <v>11</v>
      </c>
    </row>
    <row r="30">
      <c r="A30" s="20">
        <v>28</v>
      </c>
      <c r="B30" s="20">
        <f>COUNTIF($A30:$A$30,A30)</f>
        <v>1</v>
      </c>
    </row>
    <row r="31">
      <c r="A31" s="20">
        <v>28</v>
      </c>
      <c r="B31" s="20">
        <f>COUNTIF($A30:$A$31,A31)</f>
        <v>2</v>
      </c>
    </row>
    <row r="32">
      <c r="A32" s="20">
        <v>28</v>
      </c>
      <c r="B32" s="20">
        <f t="shared" ref="B32:B47" si="5">COUNTIF($A$30:$A32,A32)</f>
        <v>3</v>
      </c>
    </row>
    <row r="33">
      <c r="A33" s="20">
        <v>29</v>
      </c>
      <c r="B33" s="20">
        <f t="shared" si="5"/>
        <v>1</v>
      </c>
    </row>
    <row r="34">
      <c r="A34" s="20">
        <v>29</v>
      </c>
      <c r="B34" s="20">
        <f t="shared" si="5"/>
        <v>2</v>
      </c>
    </row>
    <row r="35">
      <c r="A35" s="20">
        <v>29</v>
      </c>
      <c r="B35" s="20">
        <f t="shared" si="5"/>
        <v>3</v>
      </c>
    </row>
    <row r="36">
      <c r="A36" s="20">
        <v>29</v>
      </c>
      <c r="B36" s="20">
        <f t="shared" si="5"/>
        <v>4</v>
      </c>
    </row>
    <row r="37">
      <c r="A37" s="20">
        <v>30</v>
      </c>
      <c r="B37" s="20">
        <f t="shared" si="5"/>
        <v>1</v>
      </c>
    </row>
    <row r="38">
      <c r="A38" s="20">
        <v>30</v>
      </c>
      <c r="B38" s="20">
        <f t="shared" si="5"/>
        <v>2</v>
      </c>
    </row>
    <row r="39">
      <c r="A39" s="20">
        <v>30</v>
      </c>
      <c r="B39" s="20">
        <f t="shared" si="5"/>
        <v>3</v>
      </c>
    </row>
    <row r="40">
      <c r="A40" s="20">
        <v>30</v>
      </c>
      <c r="B40" s="20">
        <f t="shared" si="5"/>
        <v>4</v>
      </c>
    </row>
    <row r="41">
      <c r="A41" s="20">
        <v>30</v>
      </c>
      <c r="B41" s="20">
        <f t="shared" si="5"/>
        <v>5</v>
      </c>
    </row>
    <row r="42">
      <c r="A42" s="20">
        <v>31</v>
      </c>
      <c r="B42" s="20">
        <f t="shared" si="5"/>
        <v>1</v>
      </c>
    </row>
    <row r="43">
      <c r="A43" s="20">
        <v>31</v>
      </c>
      <c r="B43" s="20">
        <f t="shared" si="5"/>
        <v>2</v>
      </c>
    </row>
    <row r="44">
      <c r="A44" s="20">
        <v>31</v>
      </c>
      <c r="B44" s="20">
        <f t="shared" si="5"/>
        <v>3</v>
      </c>
    </row>
    <row r="45">
      <c r="A45" s="20">
        <v>32</v>
      </c>
      <c r="B45" s="20">
        <f t="shared" si="5"/>
        <v>1</v>
      </c>
    </row>
    <row r="46">
      <c r="A46" s="20">
        <v>32</v>
      </c>
      <c r="B46" s="20">
        <f t="shared" si="5"/>
        <v>2</v>
      </c>
    </row>
    <row r="47">
      <c r="A47" s="20">
        <v>33</v>
      </c>
      <c r="B47" s="20">
        <f t="shared" si="5"/>
        <v>1</v>
      </c>
    </row>
    <row r="50">
      <c r="A50" s="19" t="s">
        <v>7</v>
      </c>
    </row>
    <row r="51">
      <c r="A51" s="16" t="s">
        <v>10</v>
      </c>
      <c r="B51" s="16" t="s">
        <v>11</v>
      </c>
    </row>
    <row r="52">
      <c r="A52" s="20">
        <v>0</v>
      </c>
      <c r="B52" s="20">
        <f t="shared" ref="B52:B73" si="6">COUNTIF($A$52:$A52,A52)</f>
        <v>1</v>
      </c>
    </row>
    <row r="53">
      <c r="A53" s="20">
        <v>0</v>
      </c>
      <c r="B53" s="20">
        <f t="shared" si="6"/>
        <v>2</v>
      </c>
    </row>
    <row r="54">
      <c r="A54" s="20">
        <v>0</v>
      </c>
      <c r="B54" s="20">
        <f t="shared" si="6"/>
        <v>3</v>
      </c>
    </row>
    <row r="55">
      <c r="A55" s="20">
        <v>1</v>
      </c>
      <c r="B55" s="20">
        <f t="shared" si="6"/>
        <v>1</v>
      </c>
    </row>
    <row r="56">
      <c r="A56" s="20">
        <v>1</v>
      </c>
      <c r="B56" s="20">
        <f t="shared" si="6"/>
        <v>2</v>
      </c>
    </row>
    <row r="57">
      <c r="A57" s="20">
        <v>1</v>
      </c>
      <c r="B57" s="20">
        <f t="shared" si="6"/>
        <v>3</v>
      </c>
    </row>
    <row r="58">
      <c r="A58" s="20">
        <v>1</v>
      </c>
      <c r="B58" s="20">
        <f t="shared" si="6"/>
        <v>4</v>
      </c>
    </row>
    <row r="59">
      <c r="A59" s="20">
        <v>1</v>
      </c>
      <c r="B59" s="20">
        <f t="shared" si="6"/>
        <v>5</v>
      </c>
    </row>
    <row r="60">
      <c r="A60" s="20">
        <v>1</v>
      </c>
      <c r="B60" s="20">
        <f t="shared" si="6"/>
        <v>6</v>
      </c>
    </row>
    <row r="61">
      <c r="A61" s="20">
        <v>2</v>
      </c>
      <c r="B61" s="20">
        <f t="shared" si="6"/>
        <v>1</v>
      </c>
    </row>
    <row r="62">
      <c r="A62" s="20">
        <v>2</v>
      </c>
      <c r="B62" s="20">
        <f t="shared" si="6"/>
        <v>2</v>
      </c>
    </row>
    <row r="63">
      <c r="A63" s="20">
        <v>2</v>
      </c>
      <c r="B63" s="20">
        <f t="shared" si="6"/>
        <v>3</v>
      </c>
    </row>
    <row r="64">
      <c r="A64" s="20">
        <v>2</v>
      </c>
      <c r="B64" s="20">
        <f t="shared" si="6"/>
        <v>4</v>
      </c>
    </row>
    <row r="65">
      <c r="A65" s="20">
        <v>2</v>
      </c>
      <c r="B65" s="20">
        <f t="shared" si="6"/>
        <v>5</v>
      </c>
    </row>
    <row r="66">
      <c r="A66" s="20">
        <v>2</v>
      </c>
      <c r="B66" s="20">
        <f t="shared" si="6"/>
        <v>6</v>
      </c>
    </row>
    <row r="67">
      <c r="A67" s="20">
        <v>2</v>
      </c>
      <c r="B67" s="20">
        <f t="shared" si="6"/>
        <v>7</v>
      </c>
    </row>
    <row r="68">
      <c r="A68" s="20">
        <v>3</v>
      </c>
      <c r="B68" s="20">
        <f t="shared" si="6"/>
        <v>1</v>
      </c>
    </row>
    <row r="69">
      <c r="A69" s="20">
        <v>3</v>
      </c>
      <c r="B69" s="20">
        <f t="shared" si="6"/>
        <v>2</v>
      </c>
    </row>
    <row r="70">
      <c r="A70" s="20">
        <v>3</v>
      </c>
      <c r="B70" s="20">
        <f t="shared" si="6"/>
        <v>3</v>
      </c>
    </row>
    <row r="71">
      <c r="A71" s="20">
        <v>3</v>
      </c>
      <c r="B71" s="20">
        <f t="shared" si="6"/>
        <v>4</v>
      </c>
    </row>
    <row r="72">
      <c r="A72" s="20">
        <v>4</v>
      </c>
      <c r="B72" s="20">
        <f t="shared" si="6"/>
        <v>1</v>
      </c>
    </row>
    <row r="73">
      <c r="A73" s="20">
        <v>4</v>
      </c>
      <c r="B73" s="20">
        <f t="shared" si="6"/>
        <v>2</v>
      </c>
    </row>
  </sheetData>
  <mergeCells count="1">
    <mergeCell ref="A1:K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0" zoomScale="100" workbookViewId="0">
      <selection activeCell="A1" activeCellId="0" sqref="A1"/>
    </sheetView>
  </sheetViews>
  <sheetFormatPr defaultRowHeight="15"/>
  <sheetData>
    <row r="1">
      <c r="A1" s="21" t="s">
        <v>12</v>
      </c>
      <c r="B1" s="21"/>
      <c r="C1" s="21"/>
      <c r="D1" s="21"/>
      <c r="E1" s="21"/>
      <c r="F1" s="21"/>
      <c r="G1" s="21"/>
      <c r="H1" s="21"/>
    </row>
    <row r="2">
      <c r="A2" s="22"/>
      <c r="B2" s="22"/>
      <c r="C2" s="22"/>
      <c r="D2" s="22"/>
      <c r="E2" s="22"/>
      <c r="F2" s="22"/>
      <c r="G2" s="22"/>
      <c r="H2" s="22"/>
    </row>
    <row r="3">
      <c r="A3" s="23" t="s">
        <v>13</v>
      </c>
      <c r="B3" s="23"/>
      <c r="C3" s="23"/>
      <c r="D3" s="23"/>
      <c r="E3" s="23"/>
      <c r="F3" s="23"/>
      <c r="G3" s="23"/>
      <c r="H3" s="22"/>
    </row>
    <row r="4">
      <c r="A4" s="24" t="s">
        <v>14</v>
      </c>
      <c r="B4" s="24" t="s">
        <v>15</v>
      </c>
      <c r="C4" s="25"/>
      <c r="D4" s="24" t="s">
        <v>14</v>
      </c>
      <c r="E4" s="24" t="s">
        <v>15</v>
      </c>
      <c r="F4" s="24" t="s">
        <v>16</v>
      </c>
      <c r="G4" s="24" t="s">
        <v>17</v>
      </c>
      <c r="H4" s="22"/>
    </row>
    <row r="5">
      <c r="A5" s="26" t="s">
        <v>18</v>
      </c>
      <c r="B5" s="26">
        <v>2</v>
      </c>
      <c r="C5" s="25"/>
      <c r="D5" s="26" t="s">
        <v>18</v>
      </c>
      <c r="E5" s="26">
        <v>2</v>
      </c>
      <c r="F5" s="27">
        <f>E5</f>
        <v>2</v>
      </c>
      <c r="G5" s="28">
        <f>E5/SUM(E5:E12)*100</f>
        <v>2.4691358024691357</v>
      </c>
      <c r="H5" s="22"/>
    </row>
    <row r="6">
      <c r="A6" s="26" t="s">
        <v>19</v>
      </c>
      <c r="B6" s="26">
        <v>7</v>
      </c>
      <c r="C6" s="25"/>
      <c r="D6" s="26" t="s">
        <v>19</v>
      </c>
      <c r="E6" s="26">
        <v>7</v>
      </c>
      <c r="F6" s="27">
        <f>E6+F5</f>
        <v>9</v>
      </c>
      <c r="G6" s="28">
        <f>E6/SUM(E5:E12)*100</f>
        <v>8.6419753086419746</v>
      </c>
      <c r="H6" s="22"/>
    </row>
    <row r="7">
      <c r="A7" s="26" t="s">
        <v>20</v>
      </c>
      <c r="B7" s="26">
        <v>10</v>
      </c>
      <c r="C7" s="25"/>
      <c r="D7" s="26" t="s">
        <v>20</v>
      </c>
      <c r="E7" s="26">
        <v>10</v>
      </c>
      <c r="F7" s="27">
        <f>E7+F6</f>
        <v>19</v>
      </c>
      <c r="G7" s="28">
        <f>E7/SUM(E5:E12)*100</f>
        <v>12.345679012345679</v>
      </c>
      <c r="H7" s="22"/>
    </row>
    <row r="8">
      <c r="A8" s="26" t="s">
        <v>21</v>
      </c>
      <c r="B8" s="26">
        <v>20</v>
      </c>
      <c r="C8" s="25"/>
      <c r="D8" s="26" t="s">
        <v>21</v>
      </c>
      <c r="E8" s="26">
        <v>20</v>
      </c>
      <c r="F8" s="27">
        <f>E8+F7</f>
        <v>39</v>
      </c>
      <c r="G8" s="28">
        <f>E8/SUM(E5:E12)*100</f>
        <v>24.691358024691358</v>
      </c>
      <c r="H8" s="22"/>
    </row>
    <row r="9">
      <c r="A9" s="26" t="s">
        <v>22</v>
      </c>
      <c r="B9" s="26">
        <v>18</v>
      </c>
      <c r="C9" s="25"/>
      <c r="D9" s="26" t="s">
        <v>22</v>
      </c>
      <c r="E9" s="26">
        <v>18</v>
      </c>
      <c r="F9" s="27">
        <f>E9+F8</f>
        <v>57</v>
      </c>
      <c r="G9" s="28">
        <f>E9/SUM(E5:E12)*100</f>
        <v>22.222222222222221</v>
      </c>
      <c r="H9" s="22"/>
    </row>
    <row r="10">
      <c r="A10" s="26" t="s">
        <v>23</v>
      </c>
      <c r="B10" s="26">
        <v>15</v>
      </c>
      <c r="C10" s="25"/>
      <c r="D10" s="26" t="s">
        <v>23</v>
      </c>
      <c r="E10" s="26">
        <v>15</v>
      </c>
      <c r="F10" s="27">
        <f>E10+F9</f>
        <v>72</v>
      </c>
      <c r="G10" s="28">
        <f>E10/SUM(E5:E12)*100</f>
        <v>18.518518518518519</v>
      </c>
      <c r="H10" s="22"/>
    </row>
    <row r="11">
      <c r="A11" s="26" t="s">
        <v>24</v>
      </c>
      <c r="B11" s="26">
        <v>6</v>
      </c>
      <c r="C11" s="25"/>
      <c r="D11" s="26" t="s">
        <v>24</v>
      </c>
      <c r="E11" s="26">
        <v>6</v>
      </c>
      <c r="F11" s="27">
        <f>E11+F10</f>
        <v>78</v>
      </c>
      <c r="G11" s="28">
        <f>E11/SUM(E5:E12)*100</f>
        <v>7.4074074074074066</v>
      </c>
      <c r="H11" s="22"/>
    </row>
    <row r="12">
      <c r="A12" s="26" t="s">
        <v>25</v>
      </c>
      <c r="B12" s="26">
        <v>3</v>
      </c>
      <c r="C12" s="25"/>
      <c r="D12" s="26" t="s">
        <v>25</v>
      </c>
      <c r="E12" s="26">
        <v>3</v>
      </c>
      <c r="F12" s="27">
        <f>E12+F11</f>
        <v>81</v>
      </c>
      <c r="G12" s="28">
        <f>E12/SUM(E5:E12)*100</f>
        <v>3.7037037037037033</v>
      </c>
      <c r="H12" s="22"/>
    </row>
    <row r="13">
      <c r="A13" s="22"/>
      <c r="B13" s="22"/>
      <c r="C13" s="29"/>
      <c r="D13" s="30" t="s">
        <v>26</v>
      </c>
      <c r="E13" s="31">
        <f>SUM(E5:E12)</f>
        <v>81</v>
      </c>
      <c r="F13" s="32"/>
      <c r="G13" s="33">
        <f>SUM(G5:G12)</f>
        <v>100.00000000000001</v>
      </c>
      <c r="H13" s="22"/>
    </row>
    <row r="16">
      <c r="A16" s="23" t="s">
        <v>27</v>
      </c>
      <c r="B16" s="23"/>
      <c r="C16" s="23"/>
      <c r="D16" s="23"/>
      <c r="E16" s="23"/>
      <c r="F16" s="23"/>
      <c r="G16" s="23"/>
    </row>
    <row r="17">
      <c r="A17" s="24" t="s">
        <v>28</v>
      </c>
      <c r="B17" s="24" t="s">
        <v>29</v>
      </c>
      <c r="C17" s="25"/>
      <c r="D17" s="24" t="s">
        <v>30</v>
      </c>
      <c r="E17" s="24" t="s">
        <v>29</v>
      </c>
      <c r="F17" s="24" t="s">
        <v>16</v>
      </c>
      <c r="G17" s="24" t="s">
        <v>17</v>
      </c>
    </row>
    <row r="18">
      <c r="A18" s="26">
        <v>45</v>
      </c>
      <c r="B18" s="26">
        <v>25</v>
      </c>
      <c r="C18" s="25"/>
      <c r="D18" s="26">
        <v>25</v>
      </c>
      <c r="E18" s="26">
        <v>6</v>
      </c>
      <c r="F18" s="27">
        <f>E18</f>
        <v>6</v>
      </c>
      <c r="G18" s="28">
        <f>E18/SUM(E18:E27)*100</f>
        <v>2.643171806167401</v>
      </c>
    </row>
    <row r="19">
      <c r="A19" s="26">
        <v>65</v>
      </c>
      <c r="B19" s="26">
        <v>30</v>
      </c>
      <c r="C19" s="25"/>
      <c r="D19" s="26">
        <v>35</v>
      </c>
      <c r="E19" s="26">
        <v>8</v>
      </c>
      <c r="F19" s="27">
        <f>E19+F18</f>
        <v>14</v>
      </c>
      <c r="G19" s="28">
        <f>E19/SUM(E18:E27)*100</f>
        <v>3.5242290748898681</v>
      </c>
    </row>
    <row r="20">
      <c r="A20" s="26">
        <v>49</v>
      </c>
      <c r="B20" s="26">
        <v>14</v>
      </c>
      <c r="C20" s="25"/>
      <c r="D20" s="26">
        <v>45</v>
      </c>
      <c r="E20" s="26">
        <v>25</v>
      </c>
      <c r="F20" s="27">
        <f>E20+F19</f>
        <v>39</v>
      </c>
      <c r="G20" s="28">
        <f>E20/SUM(E18:E27)*100</f>
        <v>11.013215859030836</v>
      </c>
    </row>
    <row r="21">
      <c r="A21" s="26">
        <v>85</v>
      </c>
      <c r="B21" s="26">
        <v>35</v>
      </c>
      <c r="C21" s="25"/>
      <c r="D21" s="26">
        <v>49</v>
      </c>
      <c r="E21" s="26">
        <v>14</v>
      </c>
      <c r="F21" s="27">
        <f>E21+F20</f>
        <v>53</v>
      </c>
      <c r="G21" s="28">
        <f>E21/SUM(E18:E27)*100</f>
        <v>6.1674008810572687</v>
      </c>
    </row>
    <row r="22">
      <c r="A22" s="26">
        <v>35</v>
      </c>
      <c r="B22" s="26">
        <v>8</v>
      </c>
      <c r="C22" s="25"/>
      <c r="D22" s="26">
        <v>65</v>
      </c>
      <c r="E22" s="26">
        <v>30</v>
      </c>
      <c r="F22" s="27">
        <f>E22+F21</f>
        <v>83</v>
      </c>
      <c r="G22" s="28">
        <f>E22/SUM(E18:E27)*100</f>
        <v>13.215859030837004</v>
      </c>
    </row>
    <row r="23">
      <c r="A23" s="26">
        <v>95</v>
      </c>
      <c r="B23" s="26">
        <v>35</v>
      </c>
      <c r="C23" s="25"/>
      <c r="D23" s="26">
        <v>69</v>
      </c>
      <c r="E23" s="26">
        <v>20</v>
      </c>
      <c r="F23" s="27">
        <f>E23+F22</f>
        <v>103</v>
      </c>
      <c r="G23" s="28">
        <f>E23/SUM(E18:E27)*100</f>
        <v>8.8105726872246706</v>
      </c>
    </row>
    <row r="24">
      <c r="A24" s="26">
        <v>69</v>
      </c>
      <c r="B24" s="26">
        <v>20</v>
      </c>
      <c r="C24" s="25"/>
      <c r="D24" s="26">
        <v>76</v>
      </c>
      <c r="E24" s="26">
        <v>29</v>
      </c>
      <c r="F24" s="27">
        <f>E24+F23</f>
        <v>132</v>
      </c>
      <c r="G24" s="28">
        <f>E24/SUM(E18:E27)*100</f>
        <v>12.77533039647577</v>
      </c>
    </row>
    <row r="25">
      <c r="A25" s="26">
        <v>85</v>
      </c>
      <c r="B25" s="26">
        <v>25</v>
      </c>
      <c r="C25" s="25"/>
      <c r="D25" s="26">
        <v>85</v>
      </c>
      <c r="E25" s="26">
        <v>35</v>
      </c>
      <c r="F25" s="27">
        <f>E25+F24</f>
        <v>167</v>
      </c>
      <c r="G25" s="28">
        <f>E25/SUM(E18:E27)*100</f>
        <v>15.418502202643172</v>
      </c>
    </row>
    <row r="26">
      <c r="A26" s="26">
        <v>25</v>
      </c>
      <c r="B26" s="26">
        <v>6</v>
      </c>
      <c r="C26" s="25"/>
      <c r="D26" s="26">
        <v>85</v>
      </c>
      <c r="E26" s="26">
        <v>25</v>
      </c>
      <c r="F26" s="27">
        <f>E26+F25</f>
        <v>192</v>
      </c>
      <c r="G26" s="28">
        <f>E26/SUM(E18:E27)*100</f>
        <v>11.013215859030836</v>
      </c>
    </row>
    <row r="27">
      <c r="A27" s="26">
        <v>76</v>
      </c>
      <c r="B27" s="26">
        <v>29</v>
      </c>
      <c r="C27" s="25"/>
      <c r="D27" s="26">
        <v>95</v>
      </c>
      <c r="E27" s="26">
        <v>35</v>
      </c>
      <c r="F27" s="27">
        <f>E27+F26</f>
        <v>227</v>
      </c>
      <c r="G27" s="28">
        <f>E27/SUM(E18:E27)*100</f>
        <v>15.418502202643172</v>
      </c>
    </row>
    <row r="28">
      <c r="A28" s="22"/>
      <c r="B28" s="22"/>
      <c r="C28" s="29"/>
      <c r="D28" s="30" t="s">
        <v>26</v>
      </c>
      <c r="E28" s="31">
        <f>SUM(E18:E27)</f>
        <v>227</v>
      </c>
      <c r="F28" s="32"/>
      <c r="G28" s="33">
        <f>SUM(G18:G27)</f>
        <v>99.999999999999986</v>
      </c>
    </row>
    <row r="29">
      <c r="A29" s="22"/>
      <c r="B29" s="22"/>
      <c r="C29" s="22"/>
      <c r="D29" s="22"/>
      <c r="E29" s="22"/>
      <c r="F29" s="22"/>
      <c r="G29" s="22"/>
    </row>
    <row r="30">
      <c r="A30" s="23" t="s">
        <v>31</v>
      </c>
      <c r="B30" s="23"/>
      <c r="C30" s="23"/>
      <c r="D30" s="23"/>
      <c r="E30" s="23"/>
      <c r="F30" s="23"/>
      <c r="G30" s="23"/>
    </row>
    <row r="31">
      <c r="A31" s="24" t="s">
        <v>32</v>
      </c>
      <c r="B31" s="24" t="s">
        <v>33</v>
      </c>
      <c r="C31" s="25"/>
      <c r="D31" s="24" t="s">
        <v>34</v>
      </c>
      <c r="E31" s="24" t="s">
        <v>33</v>
      </c>
      <c r="F31" s="24" t="s">
        <v>16</v>
      </c>
      <c r="G31" s="24" t="s">
        <v>17</v>
      </c>
    </row>
    <row r="32">
      <c r="A32" s="26">
        <v>25</v>
      </c>
      <c r="B32" s="26">
        <v>3</v>
      </c>
      <c r="C32" s="25"/>
      <c r="D32" s="26">
        <v>25</v>
      </c>
      <c r="E32" s="26">
        <v>3</v>
      </c>
      <c r="F32" s="27">
        <f>E32</f>
        <v>3</v>
      </c>
      <c r="G32" s="28">
        <f>E32/SUM(E32:E40)*100</f>
        <v>4.918032786885246</v>
      </c>
    </row>
    <row r="33">
      <c r="A33" s="26">
        <v>36</v>
      </c>
      <c r="B33" s="26">
        <v>10</v>
      </c>
      <c r="C33" s="25"/>
      <c r="D33" s="26">
        <v>36</v>
      </c>
      <c r="E33" s="26">
        <v>10</v>
      </c>
      <c r="F33" s="27">
        <f>E33+F32</f>
        <v>13</v>
      </c>
      <c r="G33" s="28">
        <f>E33/SUM(E32:E40)*100</f>
        <v>16.393442622950818</v>
      </c>
    </row>
    <row r="34">
      <c r="A34" s="26">
        <v>51</v>
      </c>
      <c r="B34" s="26">
        <v>5</v>
      </c>
      <c r="C34" s="25"/>
      <c r="D34" s="26">
        <v>51</v>
      </c>
      <c r="E34" s="26">
        <v>5</v>
      </c>
      <c r="F34" s="27">
        <f>E34+F33</f>
        <v>18</v>
      </c>
      <c r="G34" s="28">
        <f>E34/SUM(E32:E40)*100</f>
        <v>8.1967213114754092</v>
      </c>
    </row>
    <row r="35">
      <c r="A35" s="26">
        <v>68</v>
      </c>
      <c r="B35" s="26">
        <v>11</v>
      </c>
      <c r="C35" s="25"/>
      <c r="D35" s="26">
        <v>56</v>
      </c>
      <c r="E35" s="26">
        <v>6</v>
      </c>
      <c r="F35" s="27">
        <f>E35+F34</f>
        <v>24</v>
      </c>
      <c r="G35" s="28">
        <f>E35/SUM(E32:E40)*100</f>
        <v>9.8360655737704921</v>
      </c>
    </row>
    <row r="36">
      <c r="A36" s="26">
        <v>70</v>
      </c>
      <c r="B36" s="26">
        <v>2</v>
      </c>
      <c r="C36" s="25"/>
      <c r="D36" s="26">
        <v>62</v>
      </c>
      <c r="E36" s="26">
        <v>9</v>
      </c>
      <c r="F36" s="27">
        <f>E36+F35</f>
        <v>33</v>
      </c>
      <c r="G36" s="28">
        <f>E36/SUM(E32:E40)*100</f>
        <v>14.754098360655737</v>
      </c>
    </row>
    <row r="37">
      <c r="A37" s="26">
        <v>56</v>
      </c>
      <c r="B37" s="26">
        <v>6</v>
      </c>
      <c r="C37" s="25"/>
      <c r="D37" s="26">
        <v>65</v>
      </c>
      <c r="E37" s="26">
        <v>8</v>
      </c>
      <c r="F37" s="27">
        <f>E37+F36</f>
        <v>41</v>
      </c>
      <c r="G37" s="28">
        <f>E37/SUM(E32:E40)*100</f>
        <v>13.114754098360656</v>
      </c>
    </row>
    <row r="38">
      <c r="A38" s="26">
        <v>62</v>
      </c>
      <c r="B38" s="26">
        <v>9</v>
      </c>
      <c r="C38" s="25"/>
      <c r="D38" s="26">
        <v>68</v>
      </c>
      <c r="E38" s="26">
        <v>11</v>
      </c>
      <c r="F38" s="27">
        <f>E38+F37</f>
        <v>52</v>
      </c>
      <c r="G38" s="28">
        <f>E38/SUM(E32:E40)*100</f>
        <v>18.032786885245901</v>
      </c>
    </row>
    <row r="39">
      <c r="A39" s="26">
        <v>65</v>
      </c>
      <c r="B39" s="26">
        <v>8</v>
      </c>
      <c r="C39" s="25"/>
      <c r="D39" s="26">
        <v>70</v>
      </c>
      <c r="E39" s="26">
        <v>2</v>
      </c>
      <c r="F39" s="27">
        <f>E39+F38</f>
        <v>54</v>
      </c>
      <c r="G39" s="28">
        <f>E39/SUM(E32:E40)*100</f>
        <v>3.278688524590164</v>
      </c>
    </row>
    <row r="40">
      <c r="A40" s="26">
        <v>75</v>
      </c>
      <c r="B40" s="26">
        <v>7</v>
      </c>
      <c r="C40" s="25"/>
      <c r="D40" s="26">
        <v>75</v>
      </c>
      <c r="E40" s="26">
        <v>7</v>
      </c>
      <c r="F40" s="27">
        <f>E40+F39</f>
        <v>61</v>
      </c>
      <c r="G40" s="28">
        <f>E40/SUM(E32:E40)*100</f>
        <v>11.475409836065573</v>
      </c>
    </row>
    <row r="41">
      <c r="A41" s="22"/>
      <c r="B41" s="22"/>
      <c r="C41" s="29"/>
      <c r="D41" s="30" t="s">
        <v>26</v>
      </c>
      <c r="E41" s="31">
        <f>SUM(E32:E40)</f>
        <v>61</v>
      </c>
      <c r="F41" s="32"/>
      <c r="G41" s="33">
        <f>SUM(G32:G40)</f>
        <v>100</v>
      </c>
    </row>
    <row r="42">
      <c r="A42" s="22"/>
      <c r="B42" s="22"/>
      <c r="C42" s="22"/>
      <c r="D42" s="22"/>
      <c r="E42" s="22"/>
      <c r="F42" s="22"/>
      <c r="G42" s="22"/>
    </row>
    <row r="43">
      <c r="A43" s="23" t="s">
        <v>35</v>
      </c>
      <c r="B43" s="23"/>
      <c r="C43" s="23"/>
      <c r="D43" s="23"/>
      <c r="E43" s="23"/>
      <c r="F43" s="23"/>
      <c r="G43" s="23"/>
    </row>
    <row r="44">
      <c r="A44" s="24" t="s">
        <v>36</v>
      </c>
      <c r="B44" s="24" t="s">
        <v>37</v>
      </c>
      <c r="C44" s="25"/>
      <c r="D44" s="24" t="s">
        <v>36</v>
      </c>
      <c r="E44" s="24" t="s">
        <v>37</v>
      </c>
      <c r="F44" s="24" t="s">
        <v>16</v>
      </c>
      <c r="G44" s="24" t="s">
        <v>17</v>
      </c>
    </row>
    <row r="45">
      <c r="A45" s="26" t="s">
        <v>38</v>
      </c>
      <c r="B45" s="26">
        <v>9</v>
      </c>
      <c r="C45" s="25"/>
      <c r="D45" s="26" t="s">
        <v>38</v>
      </c>
      <c r="E45" s="26">
        <v>9</v>
      </c>
      <c r="F45" s="27">
        <f>E45</f>
        <v>9</v>
      </c>
      <c r="G45" s="28">
        <f>E45/SUM(E45:E52)*100</f>
        <v>8.4112149532710276</v>
      </c>
    </row>
    <row r="46">
      <c r="A46" s="26" t="s">
        <v>39</v>
      </c>
      <c r="B46" s="26">
        <v>15</v>
      </c>
      <c r="C46" s="25"/>
      <c r="D46" s="26" t="s">
        <v>39</v>
      </c>
      <c r="E46" s="26">
        <v>15</v>
      </c>
      <c r="F46" s="27">
        <f>E46+F45</f>
        <v>24</v>
      </c>
      <c r="G46" s="28">
        <f>E46/SUM(E45:E52)*100</f>
        <v>14.018691588785046</v>
      </c>
    </row>
    <row r="47">
      <c r="A47" s="26" t="s">
        <v>40</v>
      </c>
      <c r="B47" s="26">
        <v>16</v>
      </c>
      <c r="C47" s="25"/>
      <c r="D47" s="26" t="s">
        <v>40</v>
      </c>
      <c r="E47" s="26">
        <v>16</v>
      </c>
      <c r="F47" s="27">
        <f>E47+F46</f>
        <v>40</v>
      </c>
      <c r="G47" s="28">
        <f>E47/SUM(E45:E52)*100</f>
        <v>14.953271028037381</v>
      </c>
    </row>
    <row r="48">
      <c r="A48" s="26" t="s">
        <v>41</v>
      </c>
      <c r="B48" s="26">
        <v>8</v>
      </c>
      <c r="C48" s="25"/>
      <c r="D48" s="26" t="s">
        <v>41</v>
      </c>
      <c r="E48" s="26">
        <v>8</v>
      </c>
      <c r="F48" s="27">
        <f>E48+F47</f>
        <v>48</v>
      </c>
      <c r="G48" s="28">
        <f>E48/SUM(E45:E52)*100</f>
        <v>7.4766355140186906</v>
      </c>
    </row>
    <row r="49">
      <c r="A49" s="26" t="s">
        <v>42</v>
      </c>
      <c r="B49" s="26">
        <v>14</v>
      </c>
      <c r="C49" s="25"/>
      <c r="D49" s="26" t="s">
        <v>42</v>
      </c>
      <c r="E49" s="26">
        <v>14</v>
      </c>
      <c r="F49" s="27">
        <f>E49+F48</f>
        <v>62</v>
      </c>
      <c r="G49" s="28">
        <f>E49/SUM(E45:E52)*100</f>
        <v>13.084112149532709</v>
      </c>
    </row>
    <row r="50">
      <c r="A50" s="26" t="s">
        <v>43</v>
      </c>
      <c r="B50" s="26">
        <v>15</v>
      </c>
      <c r="C50" s="25"/>
      <c r="D50" s="26" t="s">
        <v>43</v>
      </c>
      <c r="E50" s="26">
        <v>15</v>
      </c>
      <c r="F50" s="27">
        <f>E50+F49</f>
        <v>77</v>
      </c>
      <c r="G50" s="28">
        <f>E50/SUM(E45:E52)*100</f>
        <v>14.018691588785046</v>
      </c>
    </row>
    <row r="51">
      <c r="A51" s="26" t="s">
        <v>44</v>
      </c>
      <c r="B51" s="26">
        <v>13</v>
      </c>
      <c r="C51" s="25"/>
      <c r="D51" s="26" t="s">
        <v>44</v>
      </c>
      <c r="E51" s="26">
        <v>13</v>
      </c>
      <c r="F51" s="27">
        <f>E51+F50</f>
        <v>90</v>
      </c>
      <c r="G51" s="28">
        <f>E51/SUM(E45:E52)*100</f>
        <v>12.149532710280374</v>
      </c>
    </row>
    <row r="52">
      <c r="A52" s="26" t="s">
        <v>45</v>
      </c>
      <c r="B52" s="26">
        <v>17</v>
      </c>
      <c r="C52" s="25"/>
      <c r="D52" s="26" t="s">
        <v>45</v>
      </c>
      <c r="E52" s="26">
        <v>17</v>
      </c>
      <c r="F52" s="27">
        <f>E52+F51</f>
        <v>107</v>
      </c>
      <c r="G52" s="28">
        <f>E52/SUM(E45:E52)*100</f>
        <v>15.887850467289718</v>
      </c>
    </row>
    <row r="53">
      <c r="A53" s="22"/>
      <c r="B53" s="22"/>
      <c r="C53" s="29"/>
      <c r="D53" s="30" t="s">
        <v>26</v>
      </c>
      <c r="E53" s="31">
        <f>SUM(E45:E52)</f>
        <v>107</v>
      </c>
      <c r="F53" s="32"/>
      <c r="G53" s="33">
        <f>SUM(G45:G52)</f>
        <v>99.999999999999986</v>
      </c>
    </row>
    <row r="54">
      <c r="A54" s="22"/>
      <c r="B54" s="22"/>
      <c r="C54" s="22"/>
      <c r="D54" s="22"/>
      <c r="E54" s="22"/>
      <c r="F54" s="22"/>
      <c r="G54" s="22"/>
    </row>
    <row r="55">
      <c r="A55" s="23" t="s">
        <v>46</v>
      </c>
      <c r="B55" s="23"/>
      <c r="C55" s="23"/>
      <c r="D55" s="23"/>
      <c r="E55" s="23"/>
      <c r="F55" s="23"/>
      <c r="G55" s="23"/>
    </row>
    <row r="56">
      <c r="A56" s="24" t="s">
        <v>47</v>
      </c>
      <c r="B56" s="24" t="s">
        <v>33</v>
      </c>
      <c r="C56" s="25"/>
      <c r="D56" s="24" t="s">
        <v>47</v>
      </c>
      <c r="E56" s="24" t="s">
        <v>33</v>
      </c>
      <c r="F56" s="24" t="s">
        <v>16</v>
      </c>
      <c r="G56" s="24" t="s">
        <v>17</v>
      </c>
    </row>
    <row r="57">
      <c r="A57" s="26" t="s">
        <v>18</v>
      </c>
      <c r="B57" s="26">
        <v>12</v>
      </c>
      <c r="C57" s="25"/>
      <c r="D57" s="26" t="s">
        <v>18</v>
      </c>
      <c r="E57" s="26">
        <v>12</v>
      </c>
      <c r="F57" s="27">
        <f>E57</f>
        <v>12</v>
      </c>
      <c r="G57" s="28">
        <f>E57/SUM(E57:E65)*100</f>
        <v>11.320754716981133</v>
      </c>
    </row>
    <row r="58">
      <c r="A58" s="26" t="s">
        <v>48</v>
      </c>
      <c r="B58" s="26">
        <v>15</v>
      </c>
      <c r="C58" s="25"/>
      <c r="D58" s="26" t="s">
        <v>48</v>
      </c>
      <c r="E58" s="26">
        <v>15</v>
      </c>
      <c r="F58" s="27">
        <f>E58+F57</f>
        <v>27</v>
      </c>
      <c r="G58" s="28">
        <f>E58/SUM(E57:E65)*100</f>
        <v>14.150943396226415</v>
      </c>
    </row>
    <row r="59">
      <c r="A59" s="26" t="s">
        <v>49</v>
      </c>
      <c r="B59" s="26">
        <v>9</v>
      </c>
      <c r="C59" s="25"/>
      <c r="D59" s="26" t="s">
        <v>49</v>
      </c>
      <c r="E59" s="26">
        <v>9</v>
      </c>
      <c r="F59" s="27">
        <f>E59+F58</f>
        <v>36</v>
      </c>
      <c r="G59" s="28">
        <f>E59/SUM(E57:E65)*100</f>
        <v>8.4905660377358494</v>
      </c>
    </row>
    <row r="60">
      <c r="A60" s="26" t="s">
        <v>50</v>
      </c>
      <c r="B60" s="26">
        <v>8</v>
      </c>
      <c r="C60" s="25"/>
      <c r="D60" s="26" t="s">
        <v>50</v>
      </c>
      <c r="E60" s="26">
        <v>8</v>
      </c>
      <c r="F60" s="27">
        <f>E60+F59</f>
        <v>44</v>
      </c>
      <c r="G60" s="28">
        <f>E60/SUM(E57:E65)*100</f>
        <v>7.5471698113207548</v>
      </c>
    </row>
    <row r="61">
      <c r="A61" s="26" t="s">
        <v>51</v>
      </c>
      <c r="B61" s="26">
        <v>15</v>
      </c>
      <c r="C61" s="25"/>
      <c r="D61" s="26" t="s">
        <v>51</v>
      </c>
      <c r="E61" s="26">
        <v>15</v>
      </c>
      <c r="F61" s="27">
        <f>E61+F60</f>
        <v>59</v>
      </c>
      <c r="G61" s="28">
        <f>E61/SUM(E57:E65)*100</f>
        <v>14.150943396226415</v>
      </c>
    </row>
    <row r="62">
      <c r="A62" s="26" t="s">
        <v>52</v>
      </c>
      <c r="B62" s="26">
        <v>18</v>
      </c>
      <c r="C62" s="25"/>
      <c r="D62" s="26" t="s">
        <v>52</v>
      </c>
      <c r="E62" s="26">
        <v>18</v>
      </c>
      <c r="F62" s="27">
        <f>E62+F61</f>
        <v>77</v>
      </c>
      <c r="G62" s="28">
        <f>E62/SUM(E57:E65)*100</f>
        <v>16.981132075471699</v>
      </c>
    </row>
    <row r="63">
      <c r="A63" s="26" t="s">
        <v>23</v>
      </c>
      <c r="B63" s="26">
        <v>14</v>
      </c>
      <c r="C63" s="25"/>
      <c r="D63" s="26" t="s">
        <v>23</v>
      </c>
      <c r="E63" s="26">
        <v>14</v>
      </c>
      <c r="F63" s="27">
        <f>E63+F62</f>
        <v>91</v>
      </c>
      <c r="G63" s="28">
        <f>E63/SUM(E57:E65)*100</f>
        <v>13.20754716981132</v>
      </c>
    </row>
    <row r="64">
      <c r="A64" s="26" t="s">
        <v>53</v>
      </c>
      <c r="B64" s="26">
        <v>10</v>
      </c>
      <c r="C64" s="25"/>
      <c r="D64" s="26" t="s">
        <v>53</v>
      </c>
      <c r="E64" s="26">
        <v>10</v>
      </c>
      <c r="F64" s="27">
        <f>E64+F63</f>
        <v>101</v>
      </c>
      <c r="G64" s="28">
        <f>E64/SUM(E57:E65)*100</f>
        <v>9.433962264150944</v>
      </c>
    </row>
    <row r="65">
      <c r="A65" s="26" t="s">
        <v>54</v>
      </c>
      <c r="B65" s="26">
        <v>5</v>
      </c>
      <c r="C65" s="25"/>
      <c r="D65" s="26" t="s">
        <v>54</v>
      </c>
      <c r="E65" s="26">
        <v>5</v>
      </c>
      <c r="F65" s="27">
        <f>E65+F64</f>
        <v>106</v>
      </c>
      <c r="G65" s="28">
        <f>E65/SUM(E57:E65)*100</f>
        <v>4.716981132075472</v>
      </c>
    </row>
    <row r="66">
      <c r="A66" s="22"/>
      <c r="B66" s="22"/>
      <c r="C66" s="29"/>
      <c r="D66" s="30" t="s">
        <v>26</v>
      </c>
      <c r="E66" s="31">
        <f>SUM(E57:E65)</f>
        <v>106</v>
      </c>
      <c r="F66" s="32"/>
      <c r="G66" s="33">
        <f>SUM(G57:G65)</f>
        <v>100.00000000000001</v>
      </c>
    </row>
    <row r="67">
      <c r="A67" s="22"/>
      <c r="B67" s="22"/>
      <c r="C67" s="22"/>
      <c r="D67" s="22"/>
      <c r="E67" s="22"/>
      <c r="F67" s="22"/>
      <c r="G67" s="22"/>
    </row>
    <row r="68">
      <c r="A68" s="23" t="s">
        <v>55</v>
      </c>
      <c r="B68" s="23"/>
      <c r="C68" s="23"/>
      <c r="D68" s="23"/>
      <c r="E68" s="23"/>
      <c r="F68" s="23"/>
      <c r="G68" s="23"/>
    </row>
    <row r="69">
      <c r="A69" s="24" t="s">
        <v>14</v>
      </c>
      <c r="B69" s="24" t="s">
        <v>15</v>
      </c>
      <c r="C69" s="25"/>
      <c r="D69" s="24" t="s">
        <v>14</v>
      </c>
      <c r="E69" s="24" t="s">
        <v>15</v>
      </c>
      <c r="F69" s="24" t="s">
        <v>16</v>
      </c>
      <c r="G69" s="24" t="s">
        <v>17</v>
      </c>
    </row>
    <row r="70">
      <c r="A70" s="26" t="s">
        <v>18</v>
      </c>
      <c r="B70" s="26">
        <v>2</v>
      </c>
      <c r="C70" s="25"/>
      <c r="D70" s="26" t="s">
        <v>18</v>
      </c>
      <c r="E70" s="26">
        <v>2</v>
      </c>
      <c r="F70" s="27">
        <f>E70</f>
        <v>2</v>
      </c>
      <c r="G70" s="28">
        <f>E70/SUM(E70:E77)*100</f>
        <v>2.4691358024691357</v>
      </c>
    </row>
    <row r="71">
      <c r="A71" s="26" t="s">
        <v>19</v>
      </c>
      <c r="B71" s="26">
        <v>7</v>
      </c>
      <c r="C71" s="25"/>
      <c r="D71" s="26" t="s">
        <v>19</v>
      </c>
      <c r="E71" s="26">
        <v>7</v>
      </c>
      <c r="F71" s="27">
        <f>E71+F70</f>
        <v>9</v>
      </c>
      <c r="G71" s="28">
        <f>E71/SUM(E70:E77)*100</f>
        <v>8.6419753086419746</v>
      </c>
    </row>
    <row r="72">
      <c r="A72" s="26" t="s">
        <v>20</v>
      </c>
      <c r="B72" s="26">
        <v>10</v>
      </c>
      <c r="C72" s="25"/>
      <c r="D72" s="26" t="s">
        <v>20</v>
      </c>
      <c r="E72" s="26">
        <v>10</v>
      </c>
      <c r="F72" s="27">
        <f>E72+F71</f>
        <v>19</v>
      </c>
      <c r="G72" s="28">
        <f>E72/SUM(E70:E77)*100</f>
        <v>12.345679012345679</v>
      </c>
    </row>
    <row r="73">
      <c r="A73" s="26" t="s">
        <v>21</v>
      </c>
      <c r="B73" s="26">
        <v>20</v>
      </c>
      <c r="C73" s="25"/>
      <c r="D73" s="26" t="s">
        <v>21</v>
      </c>
      <c r="E73" s="26">
        <v>20</v>
      </c>
      <c r="F73" s="27">
        <f>E73+F72</f>
        <v>39</v>
      </c>
      <c r="G73" s="28">
        <f>E73/SUM(E70:E77)*100</f>
        <v>24.691358024691358</v>
      </c>
    </row>
    <row r="74">
      <c r="A74" s="26" t="s">
        <v>22</v>
      </c>
      <c r="B74" s="26">
        <v>18</v>
      </c>
      <c r="C74" s="25"/>
      <c r="D74" s="26" t="s">
        <v>22</v>
      </c>
      <c r="E74" s="26">
        <v>18</v>
      </c>
      <c r="F74" s="27">
        <f>E74+F73</f>
        <v>57</v>
      </c>
      <c r="G74" s="28">
        <f>E74/SUM(E70:E77)*100</f>
        <v>22.222222222222221</v>
      </c>
    </row>
    <row r="75">
      <c r="A75" s="26" t="s">
        <v>23</v>
      </c>
      <c r="B75" s="26">
        <v>15</v>
      </c>
      <c r="C75" s="25"/>
      <c r="D75" s="26" t="s">
        <v>23</v>
      </c>
      <c r="E75" s="26">
        <v>15</v>
      </c>
      <c r="F75" s="27">
        <f>E75+F74</f>
        <v>72</v>
      </c>
      <c r="G75" s="28">
        <f>E75/SUM(E70:E77)*100</f>
        <v>18.518518518518519</v>
      </c>
    </row>
    <row r="76">
      <c r="A76" s="26" t="s">
        <v>24</v>
      </c>
      <c r="B76" s="26">
        <v>6</v>
      </c>
      <c r="C76" s="25"/>
      <c r="D76" s="26" t="s">
        <v>24</v>
      </c>
      <c r="E76" s="26">
        <v>6</v>
      </c>
      <c r="F76" s="27">
        <f>E76+F75</f>
        <v>78</v>
      </c>
      <c r="G76" s="28">
        <f>E76/SUM(E70:E77)*100</f>
        <v>7.4074074074074066</v>
      </c>
    </row>
    <row r="77">
      <c r="A77" s="26" t="s">
        <v>25</v>
      </c>
      <c r="B77" s="26">
        <v>3</v>
      </c>
      <c r="C77" s="25"/>
      <c r="D77" s="26" t="s">
        <v>25</v>
      </c>
      <c r="E77" s="26">
        <v>3</v>
      </c>
      <c r="F77" s="27">
        <f>E77+F76</f>
        <v>81</v>
      </c>
      <c r="G77" s="28">
        <f>E77/SUM(E70:E77)*100</f>
        <v>3.7037037037037033</v>
      </c>
    </row>
    <row r="78">
      <c r="A78" s="22"/>
      <c r="B78" s="22"/>
      <c r="C78" s="29"/>
      <c r="D78" s="30" t="s">
        <v>26</v>
      </c>
      <c r="E78" s="31">
        <f>SUM(E70:E77)</f>
        <v>81</v>
      </c>
      <c r="F78" s="32"/>
      <c r="G78" s="33">
        <f>SUM(G70:G77)</f>
        <v>100.00000000000001</v>
      </c>
    </row>
  </sheetData>
  <mergeCells count="7">
    <mergeCell ref="A1:H1"/>
    <mergeCell ref="A3:G3"/>
    <mergeCell ref="A16:G16"/>
    <mergeCell ref="A30:G30"/>
    <mergeCell ref="A43:G43"/>
    <mergeCell ref="A55:G55"/>
    <mergeCell ref="A68:G6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12.3125"/>
    <col bestFit="1" min="4" max="5" width="11.125"/>
    <col bestFit="1" min="6" max="6" width="8.50390625"/>
    <col bestFit="1" min="7" max="7" width="12.3125"/>
    <col bestFit="1" min="8" max="8" width="11.125"/>
  </cols>
  <sheetData>
    <row r="1" ht="15.75">
      <c r="A1" s="34" t="s">
        <v>56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ht="14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ht="14.25">
      <c r="A3" s="23" t="s">
        <v>57</v>
      </c>
      <c r="B3" s="23"/>
      <c r="C3" s="23"/>
      <c r="D3" s="23"/>
      <c r="E3" s="23"/>
      <c r="F3" s="23"/>
      <c r="G3" s="23"/>
      <c r="H3" s="23"/>
      <c r="I3" s="23"/>
      <c r="J3" s="23"/>
      <c r="K3" s="22"/>
      <c r="L3" s="22"/>
    </row>
    <row r="4" ht="14.25">
      <c r="A4" s="35" t="s">
        <v>58</v>
      </c>
      <c r="B4" s="36"/>
      <c r="C4" s="37"/>
      <c r="D4" s="29"/>
      <c r="E4" s="35" t="s">
        <v>59</v>
      </c>
      <c r="F4" s="36"/>
      <c r="G4" s="35" t="s">
        <v>60</v>
      </c>
      <c r="H4" s="36"/>
      <c r="I4" s="37"/>
      <c r="J4" s="22"/>
      <c r="K4" s="22"/>
      <c r="L4" s="22"/>
    </row>
    <row r="5" ht="14.25">
      <c r="A5" s="38">
        <v>1.6000000000000001</v>
      </c>
      <c r="B5" s="38">
        <v>6.5</v>
      </c>
      <c r="C5" s="22"/>
      <c r="D5" s="29"/>
      <c r="E5" s="38">
        <v>1.6000000000000001</v>
      </c>
      <c r="F5" s="32"/>
      <c r="G5" s="39" t="s">
        <v>61</v>
      </c>
      <c r="H5" s="39" t="s">
        <v>62</v>
      </c>
      <c r="I5" s="22"/>
      <c r="J5" s="22"/>
      <c r="K5" s="22"/>
      <c r="L5" s="22"/>
    </row>
    <row r="6" ht="14.25">
      <c r="A6" s="38">
        <v>2</v>
      </c>
      <c r="B6" s="38">
        <v>6.7000000000000002</v>
      </c>
      <c r="C6" s="22"/>
      <c r="D6" s="29"/>
      <c r="E6" s="38">
        <v>2</v>
      </c>
      <c r="F6" s="25"/>
      <c r="G6" s="38" t="s">
        <v>63</v>
      </c>
      <c r="H6" s="40">
        <f>COUNT(E5:E44)</f>
        <v>38</v>
      </c>
      <c r="I6" s="22"/>
      <c r="J6" s="22"/>
      <c r="K6" s="22"/>
      <c r="L6" s="22"/>
    </row>
    <row r="7" ht="14.25">
      <c r="A7" s="38">
        <v>2.6000000000000001</v>
      </c>
      <c r="B7" s="38">
        <v>7</v>
      </c>
      <c r="C7" s="22"/>
      <c r="D7" s="29"/>
      <c r="E7" s="38">
        <v>2.6000000000000001</v>
      </c>
      <c r="F7" s="25"/>
      <c r="G7" s="38" t="s">
        <v>64</v>
      </c>
      <c r="H7" s="40">
        <f>MAX(E5:E44)</f>
        <v>9</v>
      </c>
      <c r="I7" s="22"/>
      <c r="J7" s="22"/>
      <c r="K7" s="22"/>
      <c r="L7" s="22"/>
    </row>
    <row r="8" ht="14.25">
      <c r="A8" s="38">
        <v>3</v>
      </c>
      <c r="B8" s="38">
        <v>7.0999999999999996</v>
      </c>
      <c r="C8" s="22"/>
      <c r="D8" s="29"/>
      <c r="E8" s="38">
        <v>3</v>
      </c>
      <c r="F8" s="25"/>
      <c r="G8" s="38" t="s">
        <v>65</v>
      </c>
      <c r="H8" s="40">
        <f>MIN(E5:E44)</f>
        <v>1.6000000000000001</v>
      </c>
      <c r="I8" s="22"/>
      <c r="J8" s="22"/>
      <c r="K8" s="22"/>
      <c r="L8" s="22"/>
    </row>
    <row r="9" ht="14.25">
      <c r="A9" s="38">
        <v>3.5</v>
      </c>
      <c r="B9" s="38">
        <v>7.2999999999999998</v>
      </c>
      <c r="C9" s="22"/>
      <c r="D9" s="29"/>
      <c r="E9" s="38">
        <v>3.5</v>
      </c>
      <c r="F9" s="25"/>
      <c r="G9" s="38" t="s">
        <v>66</v>
      </c>
      <c r="H9" s="40">
        <f>AVERAGE(E5:E44)</f>
        <v>6.1763157894736844</v>
      </c>
      <c r="I9" s="22"/>
      <c r="J9" s="22"/>
      <c r="K9" s="22"/>
      <c r="L9" s="22"/>
    </row>
    <row r="10" ht="14.25">
      <c r="A10" s="38">
        <v>3.8999999999999999</v>
      </c>
      <c r="B10" s="38">
        <v>7.2999999999999998</v>
      </c>
      <c r="C10" s="22"/>
      <c r="D10" s="29"/>
      <c r="E10" s="38">
        <v>3.8999999999999999</v>
      </c>
      <c r="F10" s="25"/>
      <c r="G10" s="38" t="s">
        <v>67</v>
      </c>
      <c r="H10" s="40">
        <f>MEDIAN(E5:E44)</f>
        <v>6.4000000000000004</v>
      </c>
      <c r="I10" s="22"/>
      <c r="J10" s="22"/>
      <c r="K10" s="22"/>
      <c r="L10" s="22"/>
    </row>
    <row r="11" ht="14.25">
      <c r="A11" s="38">
        <v>4.5</v>
      </c>
      <c r="B11" s="38">
        <v>7.2999999999999998</v>
      </c>
      <c r="C11" s="22"/>
      <c r="D11" s="29"/>
      <c r="E11" s="38">
        <v>4.5</v>
      </c>
      <c r="F11" s="25"/>
      <c r="G11" s="38" t="s">
        <v>68</v>
      </c>
      <c r="H11" s="40">
        <f>QUARTILE(E5:E44,1)</f>
        <v>4.75</v>
      </c>
      <c r="I11" s="22"/>
      <c r="J11" s="22"/>
      <c r="K11" s="22"/>
      <c r="L11" s="22"/>
    </row>
    <row r="12" ht="14.25">
      <c r="A12" s="38">
        <v>4.5999999999999996</v>
      </c>
      <c r="B12" s="38">
        <v>7.7000000000000002</v>
      </c>
      <c r="C12" s="22"/>
      <c r="D12" s="29"/>
      <c r="E12" s="38">
        <v>4.5999999999999996</v>
      </c>
      <c r="F12" s="25"/>
      <c r="G12" s="38" t="s">
        <v>69</v>
      </c>
      <c r="H12" s="40">
        <f>QUARTILE(E5:E44,3)</f>
        <v>7.7249999999999996</v>
      </c>
      <c r="I12" s="22"/>
      <c r="J12" s="22"/>
      <c r="K12" s="22"/>
      <c r="L12" s="22"/>
    </row>
    <row r="13" ht="14.25">
      <c r="A13" s="38">
        <v>4.7999999999999998</v>
      </c>
      <c r="B13" s="38">
        <v>7.7000000000000002</v>
      </c>
      <c r="C13" s="22"/>
      <c r="D13" s="29"/>
      <c r="E13" s="38">
        <v>4.7999999999999998</v>
      </c>
      <c r="F13" s="25"/>
      <c r="G13" s="38" t="s">
        <v>70</v>
      </c>
      <c r="H13" s="40">
        <f>QUARTILE(E5:E44,3)-QUARTILE(E5:E44,1)</f>
        <v>2.9749999999999996</v>
      </c>
      <c r="I13" s="22"/>
      <c r="J13" s="22"/>
      <c r="K13" s="22"/>
      <c r="L13" s="22"/>
    </row>
    <row r="14" ht="14.25">
      <c r="A14" s="38">
        <v>5</v>
      </c>
      <c r="B14" s="38">
        <v>7.7999999999999998</v>
      </c>
      <c r="C14" s="22"/>
      <c r="D14" s="29"/>
      <c r="E14" s="38">
        <v>5</v>
      </c>
      <c r="F14" s="25"/>
      <c r="G14" s="38" t="s">
        <v>71</v>
      </c>
      <c r="H14" s="40">
        <f>QUARTILE(E5:E44,1)-1.5*(QUARTILE(E5:E44,3)-QUARTILE(E5:E44,1))</f>
        <v>0.28750000000000053</v>
      </c>
      <c r="I14" s="22"/>
      <c r="J14" s="22"/>
      <c r="K14" s="22"/>
      <c r="L14" s="22"/>
    </row>
    <row r="15" ht="14.25">
      <c r="A15" s="38">
        <v>5.0999999999999996</v>
      </c>
      <c r="B15" s="38">
        <v>7.9000000000000004</v>
      </c>
      <c r="C15" s="22"/>
      <c r="D15" s="29"/>
      <c r="E15" s="38">
        <v>5.0999999999999996</v>
      </c>
      <c r="F15" s="25"/>
      <c r="G15" s="38" t="s">
        <v>72</v>
      </c>
      <c r="H15" s="40">
        <f>QUARTILE(E5:E44,3)+1.5*(QUARTILE(E5:E44,3)-QUARTILE(E5:E44,1))</f>
        <v>12.1875</v>
      </c>
      <c r="I15" s="22"/>
      <c r="J15" s="22"/>
      <c r="K15" s="22"/>
      <c r="L15" s="22"/>
    </row>
    <row r="16" ht="14.25">
      <c r="A16" s="38">
        <v>5.2999999999999998</v>
      </c>
      <c r="B16" s="38">
        <v>8</v>
      </c>
      <c r="C16" s="22"/>
      <c r="D16" s="29"/>
      <c r="E16" s="38">
        <v>5.2999999999999998</v>
      </c>
      <c r="F16" s="22"/>
      <c r="G16" s="22"/>
      <c r="H16" s="22"/>
      <c r="I16" s="22"/>
      <c r="J16" s="22"/>
      <c r="K16" s="22"/>
      <c r="L16" s="22"/>
    </row>
    <row r="17" ht="14.25">
      <c r="A17" s="38">
        <v>5.4000000000000004</v>
      </c>
      <c r="B17" s="38">
        <v>8.0999999999999996</v>
      </c>
      <c r="C17" s="22"/>
      <c r="D17" s="29"/>
      <c r="E17" s="38">
        <v>5.4000000000000004</v>
      </c>
      <c r="F17" s="22"/>
      <c r="G17" s="22"/>
      <c r="H17" s="22"/>
      <c r="I17" s="22"/>
      <c r="J17" s="22"/>
      <c r="K17" s="22"/>
      <c r="L17" s="22"/>
    </row>
    <row r="18" ht="14.25">
      <c r="A18" s="38">
        <v>5.5999999999999996</v>
      </c>
      <c r="B18" s="38">
        <v>8.3000000000000007</v>
      </c>
      <c r="C18" s="22"/>
      <c r="D18" s="29"/>
      <c r="E18" s="38">
        <v>5.5999999999999996</v>
      </c>
      <c r="F18" s="22"/>
      <c r="G18" s="22"/>
      <c r="H18" s="22"/>
      <c r="I18" s="22"/>
      <c r="J18" s="22"/>
      <c r="K18" s="22"/>
      <c r="L18" s="22"/>
    </row>
    <row r="19" ht="14.25">
      <c r="A19" s="38">
        <v>5.7999999999999998</v>
      </c>
      <c r="B19" s="38">
        <v>8.4000000000000004</v>
      </c>
      <c r="C19" s="22"/>
      <c r="D19" s="29"/>
      <c r="E19" s="38">
        <v>5.7999999999999998</v>
      </c>
      <c r="F19" s="22"/>
      <c r="G19" s="22"/>
      <c r="H19" s="22"/>
      <c r="I19" s="22"/>
      <c r="J19" s="22"/>
      <c r="K19" s="22"/>
      <c r="L19" s="22"/>
    </row>
    <row r="20" ht="14.25">
      <c r="A20" s="38">
        <v>6</v>
      </c>
      <c r="B20" s="38">
        <v>8.4000000000000004</v>
      </c>
      <c r="C20" s="22"/>
      <c r="D20" s="29"/>
      <c r="E20" s="38">
        <v>6</v>
      </c>
      <c r="F20" s="22"/>
      <c r="G20" s="22"/>
      <c r="H20" s="22"/>
      <c r="I20" s="22"/>
      <c r="J20" s="22"/>
      <c r="K20" s="22"/>
      <c r="L20" s="22"/>
    </row>
    <row r="21" ht="14.25">
      <c r="A21" s="38">
        <v>6</v>
      </c>
      <c r="B21" s="38">
        <v>8.5</v>
      </c>
      <c r="C21" s="22"/>
      <c r="D21" s="29"/>
      <c r="E21" s="38">
        <v>6</v>
      </c>
      <c r="F21" s="22"/>
      <c r="G21" s="22"/>
      <c r="H21" s="22"/>
      <c r="I21" s="22"/>
      <c r="J21" s="22"/>
      <c r="K21" s="22"/>
      <c r="L21" s="22"/>
    </row>
    <row r="22" ht="14.25">
      <c r="A22" s="38">
        <v>6.0999999999999996</v>
      </c>
      <c r="B22" s="38">
        <v>8.6999999999999993</v>
      </c>
      <c r="C22" s="22"/>
      <c r="D22" s="29"/>
      <c r="E22" s="38">
        <v>6.0999999999999996</v>
      </c>
      <c r="F22" s="22"/>
      <c r="G22" s="22"/>
      <c r="H22" s="22"/>
      <c r="I22" s="22"/>
      <c r="J22" s="22"/>
      <c r="K22" s="22"/>
      <c r="L22" s="22"/>
    </row>
    <row r="23" ht="14.25">
      <c r="A23" s="38">
        <v>6.2999999999999998</v>
      </c>
      <c r="B23" s="38">
        <v>8.8000000000000007</v>
      </c>
      <c r="C23" s="22"/>
      <c r="D23" s="29"/>
      <c r="E23" s="38">
        <v>6.2999999999999998</v>
      </c>
      <c r="F23" s="22"/>
      <c r="G23" s="22"/>
      <c r="H23" s="22"/>
      <c r="I23" s="22"/>
      <c r="J23" s="22"/>
      <c r="K23" s="22"/>
      <c r="L23" s="22"/>
    </row>
    <row r="24" ht="14.25">
      <c r="A24" s="38">
        <v>6.5</v>
      </c>
      <c r="B24" s="38">
        <v>9</v>
      </c>
      <c r="C24" s="22"/>
      <c r="D24" s="29"/>
      <c r="E24" s="38">
        <v>6.5</v>
      </c>
      <c r="F24" s="22"/>
      <c r="G24" s="22"/>
      <c r="H24" s="22"/>
      <c r="I24" s="22"/>
      <c r="J24" s="22"/>
      <c r="K24" s="22"/>
      <c r="L24" s="22"/>
    </row>
    <row r="25" ht="14.25">
      <c r="A25" s="22"/>
      <c r="B25" s="22"/>
      <c r="C25" s="22"/>
      <c r="D25" s="29"/>
      <c r="E25" s="38">
        <v>6.5</v>
      </c>
      <c r="F25" s="22"/>
      <c r="G25" s="22"/>
      <c r="H25" s="22"/>
      <c r="I25" s="22"/>
      <c r="J25" s="22"/>
      <c r="K25" s="22"/>
      <c r="L25" s="22"/>
    </row>
    <row r="26" ht="14.25">
      <c r="A26" s="23" t="s">
        <v>73</v>
      </c>
      <c r="B26" s="23"/>
      <c r="C26" s="23"/>
      <c r="D26" s="23"/>
      <c r="E26" s="23"/>
      <c r="F26" s="23"/>
      <c r="G26" s="23"/>
      <c r="H26" s="23"/>
      <c r="I26" s="23"/>
      <c r="J26" s="23"/>
      <c r="K26" s="22"/>
      <c r="L26" s="22"/>
    </row>
    <row r="27" ht="14.25">
      <c r="A27" s="39" t="s">
        <v>58</v>
      </c>
      <c r="B27" s="22"/>
      <c r="C27" s="41"/>
      <c r="D27" s="42"/>
      <c r="E27" s="38">
        <v>7</v>
      </c>
      <c r="F27" s="37"/>
      <c r="G27" s="22"/>
      <c r="H27" s="22"/>
      <c r="I27" s="22"/>
      <c r="J27" s="22"/>
      <c r="K27" s="22"/>
      <c r="L27" s="22"/>
    </row>
    <row r="28" ht="14.25">
      <c r="A28" s="38">
        <v>10</v>
      </c>
      <c r="B28" s="29"/>
      <c r="C28" s="35" t="s">
        <v>74</v>
      </c>
      <c r="D28" s="36"/>
      <c r="E28" s="38">
        <v>7.0999999999999996</v>
      </c>
      <c r="F28" s="22"/>
      <c r="G28" s="22"/>
      <c r="H28" s="22"/>
      <c r="I28" s="22"/>
      <c r="J28" s="22"/>
      <c r="K28" s="22"/>
      <c r="L28" s="22"/>
    </row>
    <row r="29" ht="14.25">
      <c r="A29" s="38">
        <v>20</v>
      </c>
      <c r="B29" s="29"/>
      <c r="C29" s="39" t="s">
        <v>61</v>
      </c>
      <c r="D29" s="39" t="s">
        <v>62</v>
      </c>
      <c r="E29" s="38">
        <v>7.2999999999999998</v>
      </c>
      <c r="F29" s="22"/>
      <c r="G29" s="22"/>
      <c r="H29" s="22"/>
      <c r="I29" s="22"/>
      <c r="J29" s="22"/>
      <c r="K29" s="22"/>
      <c r="L29" s="22"/>
    </row>
    <row r="30" ht="14.25">
      <c r="A30" s="38">
        <v>30</v>
      </c>
      <c r="B30" s="29"/>
      <c r="C30" s="38" t="s">
        <v>63</v>
      </c>
      <c r="D30" s="40">
        <f>COUNT(A28:A37)</f>
        <v>10</v>
      </c>
      <c r="E30" s="38">
        <v>7.2999999999999998</v>
      </c>
      <c r="F30" s="22"/>
      <c r="G30" s="22"/>
      <c r="H30" s="22"/>
      <c r="I30" s="22"/>
      <c r="J30" s="22"/>
      <c r="K30" s="22"/>
      <c r="L30" s="22"/>
    </row>
    <row r="31" ht="14.25">
      <c r="A31" s="38">
        <v>40</v>
      </c>
      <c r="B31" s="29"/>
      <c r="C31" s="38" t="s">
        <v>64</v>
      </c>
      <c r="D31" s="40">
        <f>MAX(A28:A37)</f>
        <v>100</v>
      </c>
      <c r="E31" s="38">
        <v>7.2999999999999998</v>
      </c>
      <c r="F31" s="22"/>
      <c r="G31" s="22"/>
      <c r="H31" s="22"/>
      <c r="I31" s="22"/>
      <c r="J31" s="22"/>
      <c r="K31" s="22"/>
      <c r="L31" s="22"/>
    </row>
    <row r="32" ht="14.25">
      <c r="A32" s="38">
        <v>50</v>
      </c>
      <c r="B32" s="29"/>
      <c r="C32" s="38" t="s">
        <v>65</v>
      </c>
      <c r="D32" s="40">
        <f>MIN(A28:A37)</f>
        <v>10</v>
      </c>
      <c r="E32" s="38">
        <v>7.7000000000000002</v>
      </c>
      <c r="F32" s="22"/>
      <c r="G32" s="22"/>
      <c r="H32" s="22"/>
      <c r="I32" s="22"/>
      <c r="J32" s="22"/>
      <c r="K32" s="22"/>
      <c r="L32" s="22"/>
    </row>
    <row r="33" ht="14.25">
      <c r="A33" s="38">
        <v>60</v>
      </c>
      <c r="B33" s="29"/>
      <c r="C33" s="38" t="s">
        <v>66</v>
      </c>
      <c r="D33" s="40">
        <f>AVERAGE(A28:A37)</f>
        <v>55</v>
      </c>
      <c r="E33" s="38">
        <v>7.7000000000000002</v>
      </c>
      <c r="F33" s="22"/>
      <c r="G33" s="22"/>
      <c r="H33" s="22"/>
      <c r="I33" s="22"/>
      <c r="J33" s="22"/>
      <c r="K33" s="22"/>
      <c r="L33" s="22"/>
    </row>
    <row r="34" ht="14.25">
      <c r="A34" s="38">
        <v>70</v>
      </c>
      <c r="B34" s="29"/>
      <c r="C34" s="38" t="s">
        <v>67</v>
      </c>
      <c r="D34" s="40">
        <f>MEDIAN(A28:A37)</f>
        <v>55</v>
      </c>
      <c r="E34" s="38">
        <v>7.7999999999999998</v>
      </c>
      <c r="F34" s="22"/>
      <c r="G34" s="22"/>
      <c r="H34" s="22"/>
      <c r="I34" s="22"/>
      <c r="J34" s="22"/>
      <c r="K34" s="22"/>
      <c r="L34" s="22"/>
    </row>
    <row r="35" ht="14.25">
      <c r="A35" s="38">
        <v>80</v>
      </c>
      <c r="B35" s="29"/>
      <c r="C35" s="38" t="s">
        <v>68</v>
      </c>
      <c r="D35" s="40">
        <f>QUARTILE(A28:A37,1)</f>
        <v>32.5</v>
      </c>
      <c r="E35" s="38">
        <v>7.9000000000000004</v>
      </c>
      <c r="F35" s="22"/>
      <c r="G35" s="22"/>
      <c r="H35" s="22"/>
      <c r="I35" s="22"/>
      <c r="J35" s="22"/>
      <c r="K35" s="22"/>
      <c r="L35" s="22"/>
    </row>
    <row r="36" ht="14.25">
      <c r="A36" s="38">
        <v>90</v>
      </c>
      <c r="B36" s="29"/>
      <c r="C36" s="38" t="s">
        <v>69</v>
      </c>
      <c r="D36" s="40">
        <f>QUARTILE(A28:A37,3)</f>
        <v>77.5</v>
      </c>
      <c r="E36" s="38">
        <v>8</v>
      </c>
      <c r="F36" s="22"/>
      <c r="G36" s="22"/>
      <c r="H36" s="22"/>
      <c r="I36" s="22"/>
      <c r="J36" s="22"/>
      <c r="K36" s="22"/>
      <c r="L36" s="22"/>
    </row>
    <row r="37" ht="14.25">
      <c r="A37" s="38">
        <v>100</v>
      </c>
      <c r="B37" s="29"/>
      <c r="C37" s="38" t="s">
        <v>70</v>
      </c>
      <c r="D37" s="40">
        <f>QUARTILE(A28:A37,3)-QUARTILE(A28:A37,1)</f>
        <v>45</v>
      </c>
      <c r="E37" s="38">
        <v>8.0999999999999996</v>
      </c>
      <c r="F37" s="22"/>
      <c r="G37" s="22"/>
      <c r="H37" s="22"/>
      <c r="I37" s="22"/>
      <c r="J37" s="22"/>
      <c r="K37" s="22"/>
      <c r="L37" s="22"/>
    </row>
    <row r="38" ht="14.25">
      <c r="A38" s="22"/>
      <c r="B38" s="29"/>
      <c r="C38" s="38" t="s">
        <v>71</v>
      </c>
      <c r="D38" s="40">
        <f>QUARTILE(A28:A37,1)-1.5*(QUARTILE(A28:A37,3)-QUARTILE(A28:A37,1))</f>
        <v>-35</v>
      </c>
      <c r="E38" s="38">
        <v>8.3000000000000007</v>
      </c>
      <c r="F38" s="22"/>
      <c r="G38" s="22"/>
      <c r="H38" s="22"/>
      <c r="I38" s="22"/>
      <c r="J38" s="22"/>
      <c r="K38" s="22"/>
      <c r="L38" s="22"/>
    </row>
    <row r="39" ht="14.25">
      <c r="A39" s="22"/>
      <c r="B39" s="29"/>
      <c r="C39" s="38" t="s">
        <v>72</v>
      </c>
      <c r="D39" s="40">
        <f>QUARTILE(A28:A37,3)+1.5*(QUARTILE(A28:A37,3)-QUARTILE(A28:A37,1))</f>
        <v>145</v>
      </c>
      <c r="E39" s="38">
        <v>8.4000000000000004</v>
      </c>
      <c r="F39" s="22"/>
      <c r="G39" s="22"/>
      <c r="H39" s="22"/>
      <c r="I39" s="22"/>
      <c r="J39" s="22"/>
      <c r="K39" s="22"/>
      <c r="L39" s="22"/>
    </row>
    <row r="40" ht="14.25">
      <c r="A40" s="22"/>
      <c r="B40" s="22"/>
      <c r="C40" s="22"/>
      <c r="D40" s="43"/>
      <c r="E40" s="38">
        <v>8.4000000000000004</v>
      </c>
      <c r="F40" s="22"/>
      <c r="G40" s="22"/>
      <c r="H40" s="22"/>
      <c r="I40" s="22"/>
      <c r="J40" s="22"/>
      <c r="K40" s="22"/>
      <c r="L40" s="22"/>
    </row>
    <row r="41" ht="14.25">
      <c r="A41" s="22"/>
      <c r="B41" s="22"/>
      <c r="C41" s="22"/>
      <c r="D41" s="29"/>
      <c r="E41" s="38">
        <v>8.5</v>
      </c>
      <c r="F41" s="22"/>
      <c r="G41" s="22"/>
      <c r="H41" s="22"/>
      <c r="I41" s="22"/>
      <c r="J41" s="22"/>
      <c r="K41" s="22"/>
      <c r="L41" s="22"/>
    </row>
    <row r="42" ht="14.25">
      <c r="A42" s="23" t="s">
        <v>75</v>
      </c>
      <c r="B42" s="23"/>
      <c r="C42" s="23"/>
      <c r="D42" s="23"/>
      <c r="E42" s="23"/>
      <c r="F42" s="23"/>
      <c r="G42" s="23"/>
      <c r="H42" s="23"/>
      <c r="I42" s="23"/>
      <c r="J42" s="23"/>
      <c r="K42" s="22"/>
      <c r="L42" s="22"/>
    </row>
    <row r="43" ht="14.25">
      <c r="A43" s="39" t="s">
        <v>58</v>
      </c>
      <c r="B43" s="22"/>
      <c r="C43" s="41"/>
      <c r="D43" s="42"/>
      <c r="E43" s="38">
        <v>8.8000000000000007</v>
      </c>
      <c r="F43" s="37"/>
      <c r="G43" s="22"/>
      <c r="H43" s="22"/>
      <c r="I43" s="22"/>
      <c r="J43" s="22"/>
      <c r="K43" s="22"/>
      <c r="L43" s="22"/>
    </row>
    <row r="44" ht="14.25">
      <c r="A44" s="38">
        <v>72</v>
      </c>
      <c r="B44" s="29"/>
      <c r="C44" s="35" t="s">
        <v>76</v>
      </c>
      <c r="D44" s="36"/>
      <c r="E44" s="38">
        <v>9</v>
      </c>
      <c r="F44" s="22"/>
      <c r="G44" s="22"/>
      <c r="H44" s="22"/>
      <c r="I44" s="22"/>
      <c r="J44" s="22"/>
      <c r="K44" s="22"/>
      <c r="L44" s="22"/>
    </row>
    <row r="45" ht="14.25">
      <c r="A45" s="38">
        <v>80</v>
      </c>
      <c r="B45" s="29"/>
      <c r="C45" s="39" t="s">
        <v>61</v>
      </c>
      <c r="D45" s="39" t="s">
        <v>62</v>
      </c>
      <c r="E45" s="22"/>
      <c r="F45" s="22"/>
      <c r="G45" s="22"/>
      <c r="H45" s="22"/>
      <c r="I45" s="22"/>
      <c r="J45" s="22"/>
      <c r="K45" s="22"/>
      <c r="L45" s="22"/>
    </row>
    <row r="46" ht="14.25">
      <c r="A46" s="38">
        <v>58</v>
      </c>
      <c r="B46" s="29"/>
      <c r="C46" s="38" t="s">
        <v>63</v>
      </c>
      <c r="D46" s="40">
        <f>COUNT(A44:A53)</f>
        <v>10</v>
      </c>
      <c r="E46" s="22"/>
      <c r="F46" s="22"/>
      <c r="G46" s="22"/>
      <c r="H46" s="22"/>
      <c r="I46" s="22"/>
      <c r="J46" s="22"/>
      <c r="K46" s="22"/>
      <c r="L46" s="22"/>
    </row>
    <row r="47" ht="14.25">
      <c r="A47" s="38">
        <v>60</v>
      </c>
      <c r="B47" s="29"/>
      <c r="C47" s="38" t="s">
        <v>64</v>
      </c>
      <c r="D47" s="40">
        <f>MAX(A44:A53)</f>
        <v>80</v>
      </c>
      <c r="E47" s="22"/>
      <c r="F47" s="22"/>
      <c r="G47" s="22"/>
      <c r="H47" s="22"/>
      <c r="I47" s="22"/>
      <c r="J47" s="22"/>
      <c r="K47" s="22"/>
      <c r="L47" s="22"/>
    </row>
    <row r="48" ht="14.25">
      <c r="A48" s="38">
        <v>67</v>
      </c>
      <c r="B48" s="29"/>
      <c r="C48" s="38" t="s">
        <v>65</v>
      </c>
      <c r="D48" s="40">
        <f>MIN(A44:A53)</f>
        <v>45</v>
      </c>
      <c r="E48" s="22"/>
      <c r="F48" s="22"/>
      <c r="G48" s="22"/>
      <c r="H48" s="22"/>
      <c r="I48" s="22"/>
      <c r="J48" s="22"/>
      <c r="K48" s="22"/>
      <c r="L48" s="22"/>
    </row>
    <row r="49" ht="14.25">
      <c r="A49" s="38">
        <v>58</v>
      </c>
      <c r="B49" s="29"/>
      <c r="C49" s="38" t="s">
        <v>66</v>
      </c>
      <c r="D49" s="40">
        <f>AVERAGE(A44:A53)</f>
        <v>63.399999999999999</v>
      </c>
      <c r="E49" s="22"/>
      <c r="F49" s="22"/>
      <c r="G49" s="22"/>
      <c r="H49" s="22"/>
      <c r="I49" s="22"/>
      <c r="J49" s="22"/>
      <c r="K49" s="22"/>
      <c r="L49" s="22"/>
    </row>
    <row r="50" ht="14.25">
      <c r="A50" s="38">
        <v>70</v>
      </c>
      <c r="B50" s="29"/>
      <c r="C50" s="38" t="s">
        <v>67</v>
      </c>
      <c r="D50" s="40">
        <f>MEDIAN(A44:A53)</f>
        <v>62</v>
      </c>
      <c r="E50" s="22"/>
      <c r="F50" s="22"/>
      <c r="G50" s="22"/>
      <c r="H50" s="22"/>
      <c r="I50" s="22"/>
      <c r="J50" s="22"/>
      <c r="K50" s="22"/>
      <c r="L50" s="22"/>
    </row>
    <row r="51" ht="14.25">
      <c r="A51" s="38">
        <v>61</v>
      </c>
      <c r="B51" s="29"/>
      <c r="C51" s="38" t="s">
        <v>68</v>
      </c>
      <c r="D51" s="40">
        <f>QUARTILE(A44:A53,1)</f>
        <v>58.5</v>
      </c>
      <c r="E51" s="22"/>
      <c r="F51" s="22"/>
      <c r="G51" s="22"/>
      <c r="H51" s="22"/>
      <c r="I51" s="22"/>
      <c r="J51" s="22"/>
      <c r="K51" s="22"/>
      <c r="L51" s="22"/>
    </row>
    <row r="52" ht="14.25">
      <c r="A52" s="38">
        <v>45</v>
      </c>
      <c r="B52" s="29"/>
      <c r="C52" s="38" t="s">
        <v>69</v>
      </c>
      <c r="D52" s="40">
        <f>QUARTILE(A44:A53,3)</f>
        <v>69.25</v>
      </c>
      <c r="E52" s="22"/>
      <c r="F52" s="22"/>
      <c r="G52" s="22"/>
      <c r="H52" s="22"/>
      <c r="I52" s="22"/>
      <c r="J52" s="22"/>
      <c r="K52" s="22"/>
      <c r="L52" s="22"/>
    </row>
    <row r="53" ht="14.25">
      <c r="A53" s="38">
        <v>63</v>
      </c>
      <c r="B53" s="29"/>
      <c r="C53" s="38" t="s">
        <v>70</v>
      </c>
      <c r="D53" s="40">
        <f>QUARTILE(A44:A53,3)-QUARTILE(A44:A53,1)</f>
        <v>10.75</v>
      </c>
      <c r="E53" s="22"/>
      <c r="F53" s="22"/>
      <c r="G53" s="22"/>
      <c r="H53" s="22"/>
      <c r="I53" s="22"/>
      <c r="J53" s="22"/>
      <c r="K53" s="22"/>
      <c r="L53" s="22"/>
    </row>
    <row r="54" ht="14.25">
      <c r="A54" s="22"/>
      <c r="B54" s="29"/>
      <c r="C54" s="38" t="s">
        <v>71</v>
      </c>
      <c r="D54" s="40">
        <f>QUARTILE(A44:A53,1)-1.5*(QUARTILE(A44:A53,3)-QUARTILE(A44:A53,1))</f>
        <v>42.375</v>
      </c>
      <c r="E54" s="22"/>
      <c r="F54" s="22"/>
      <c r="G54" s="22"/>
      <c r="H54" s="22"/>
      <c r="I54" s="22"/>
      <c r="J54" s="22"/>
      <c r="K54" s="22"/>
      <c r="L54" s="22"/>
    </row>
    <row r="55" ht="14.25">
      <c r="A55" s="22"/>
      <c r="B55" s="29"/>
      <c r="C55" s="38" t="s">
        <v>72</v>
      </c>
      <c r="D55" s="40">
        <f>QUARTILE(A44:A53,3)+1.5*(QUARTILE(A44:A53,3)-QUARTILE(A44:A53,1))</f>
        <v>85.375</v>
      </c>
      <c r="E55" s="22"/>
      <c r="F55" s="22"/>
      <c r="G55" s="22"/>
      <c r="H55" s="22"/>
      <c r="I55" s="22"/>
      <c r="J55" s="22"/>
      <c r="K55" s="22"/>
      <c r="L55" s="22"/>
    </row>
    <row r="56" ht="14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ht="14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</row>
    <row r="58" ht="14.25">
      <c r="A58" s="23" t="s">
        <v>77</v>
      </c>
      <c r="B58" s="23"/>
      <c r="C58" s="23"/>
      <c r="D58" s="23"/>
      <c r="E58" s="23"/>
      <c r="F58" s="23"/>
      <c r="G58" s="23"/>
      <c r="H58" s="23"/>
      <c r="I58" s="23"/>
      <c r="J58" s="23"/>
      <c r="K58" s="22"/>
      <c r="L58" s="22"/>
    </row>
    <row r="59" ht="14.25">
      <c r="A59" s="39" t="s">
        <v>58</v>
      </c>
      <c r="B59" s="22"/>
      <c r="C59" s="41"/>
      <c r="D59" s="41"/>
      <c r="E59" s="22"/>
      <c r="F59" s="22"/>
      <c r="G59" s="22"/>
      <c r="H59" s="22"/>
      <c r="I59" s="22"/>
      <c r="J59" s="22"/>
      <c r="K59" s="22"/>
      <c r="L59" s="22"/>
    </row>
    <row r="60" ht="14.25">
      <c r="A60" s="38">
        <v>32</v>
      </c>
      <c r="B60" s="29"/>
      <c r="C60" s="35" t="s">
        <v>78</v>
      </c>
      <c r="D60" s="36"/>
      <c r="E60" s="22"/>
      <c r="F60" s="22"/>
      <c r="G60" s="22"/>
      <c r="H60" s="22"/>
      <c r="I60" s="22"/>
      <c r="J60" s="22"/>
      <c r="K60" s="22"/>
      <c r="L60" s="22"/>
    </row>
    <row r="61" ht="14.25">
      <c r="A61" s="38">
        <v>33</v>
      </c>
      <c r="B61" s="29"/>
      <c r="C61" s="39" t="s">
        <v>61</v>
      </c>
      <c r="D61" s="39" t="s">
        <v>62</v>
      </c>
      <c r="E61" s="22"/>
      <c r="F61" s="22"/>
      <c r="G61" s="22"/>
      <c r="H61" s="22"/>
      <c r="I61" s="22"/>
      <c r="J61" s="22"/>
      <c r="K61" s="22"/>
      <c r="L61" s="22"/>
    </row>
    <row r="62" ht="14.25">
      <c r="A62" s="38">
        <v>46</v>
      </c>
      <c r="B62" s="29"/>
      <c r="C62" s="38" t="s">
        <v>63</v>
      </c>
      <c r="D62" s="40">
        <f>COUNT(A60:A70)</f>
        <v>11</v>
      </c>
      <c r="E62" s="22"/>
      <c r="F62" s="22"/>
      <c r="G62" s="22"/>
      <c r="H62" s="22"/>
      <c r="I62" s="22"/>
      <c r="J62" s="22"/>
      <c r="K62" s="22"/>
      <c r="L62" s="22"/>
    </row>
    <row r="63" ht="14.25">
      <c r="A63" s="38">
        <v>56</v>
      </c>
      <c r="B63" s="29"/>
      <c r="C63" s="38" t="s">
        <v>64</v>
      </c>
      <c r="D63" s="40">
        <f>MAX(A60:A70)</f>
        <v>98</v>
      </c>
      <c r="E63" s="22"/>
      <c r="F63" s="22"/>
      <c r="G63" s="22"/>
      <c r="H63" s="22"/>
      <c r="I63" s="22"/>
      <c r="J63" s="22"/>
      <c r="K63" s="22"/>
      <c r="L63" s="22"/>
    </row>
    <row r="64" ht="14.25">
      <c r="A64" s="38">
        <v>64</v>
      </c>
      <c r="B64" s="29"/>
      <c r="C64" s="38" t="s">
        <v>65</v>
      </c>
      <c r="D64" s="40">
        <f>MIN(A60:A70)</f>
        <v>32</v>
      </c>
      <c r="E64" s="22"/>
      <c r="F64" s="22"/>
      <c r="G64" s="22"/>
      <c r="H64" s="22"/>
      <c r="I64" s="22"/>
      <c r="J64" s="22"/>
      <c r="K64" s="22"/>
      <c r="L64" s="22"/>
    </row>
    <row r="65" ht="14.25">
      <c r="A65" s="38">
        <v>65</v>
      </c>
      <c r="B65" s="29"/>
      <c r="C65" s="38" t="s">
        <v>66</v>
      </c>
      <c r="D65" s="40">
        <f>AVERAGE(A60:A70)</f>
        <v>64.545454545454547</v>
      </c>
      <c r="E65" s="22"/>
      <c r="F65" s="22"/>
      <c r="G65" s="22"/>
      <c r="H65" s="22"/>
      <c r="I65" s="22"/>
      <c r="J65" s="22"/>
      <c r="K65" s="22"/>
      <c r="L65" s="22"/>
    </row>
    <row r="66" ht="14.25">
      <c r="A66" s="38">
        <v>65</v>
      </c>
      <c r="B66" s="29"/>
      <c r="C66" s="38" t="s">
        <v>67</v>
      </c>
      <c r="D66" s="40">
        <f>MEDIAN(A60:A70)</f>
        <v>65</v>
      </c>
      <c r="E66" s="22"/>
      <c r="F66" s="22"/>
      <c r="G66" s="22"/>
      <c r="H66" s="22"/>
      <c r="I66" s="22"/>
      <c r="J66" s="22"/>
      <c r="K66" s="22"/>
      <c r="L66" s="22"/>
    </row>
    <row r="67" ht="14.25">
      <c r="A67" s="38">
        <v>76</v>
      </c>
      <c r="B67" s="29"/>
      <c r="C67" s="38" t="s">
        <v>68</v>
      </c>
      <c r="D67" s="40">
        <f>QUARTILE(A60:A70,1)</f>
        <v>51</v>
      </c>
      <c r="E67" s="22"/>
      <c r="F67" s="22"/>
      <c r="G67" s="22"/>
      <c r="H67" s="22"/>
      <c r="I67" s="22"/>
      <c r="J67" s="22"/>
      <c r="K67" s="22"/>
      <c r="L67" s="22"/>
    </row>
    <row r="68" ht="14.25">
      <c r="A68" s="38">
        <v>86</v>
      </c>
      <c r="B68" s="29"/>
      <c r="C68" s="38" t="s">
        <v>69</v>
      </c>
      <c r="D68" s="40">
        <f>QUARTILE(A60:A70,3)</f>
        <v>81</v>
      </c>
      <c r="E68" s="22"/>
      <c r="F68" s="22"/>
      <c r="G68" s="22"/>
      <c r="H68" s="22"/>
      <c r="I68" s="22"/>
      <c r="J68" s="22"/>
      <c r="K68" s="22"/>
      <c r="L68" s="22"/>
    </row>
    <row r="69" ht="14.25">
      <c r="A69" s="38">
        <v>89</v>
      </c>
      <c r="B69" s="29"/>
      <c r="C69" s="38" t="s">
        <v>70</v>
      </c>
      <c r="D69" s="40">
        <f>QUARTILE(A60:A70,3)-QUARTILE(A60:A70,1)</f>
        <v>30</v>
      </c>
      <c r="E69" s="22"/>
      <c r="F69" s="22"/>
      <c r="G69" s="22"/>
      <c r="H69" s="22"/>
      <c r="I69" s="22"/>
      <c r="J69" s="22"/>
      <c r="K69" s="22"/>
      <c r="L69" s="22"/>
    </row>
    <row r="70" ht="14.25">
      <c r="A70" s="38">
        <v>98</v>
      </c>
      <c r="B70" s="29"/>
      <c r="C70" s="38" t="s">
        <v>71</v>
      </c>
      <c r="D70" s="40">
        <f>QUARTILE(A60:A70,1)-1.5*(QUARTILE(A60:A70,3)-QUARTILE(A60:A70,1))</f>
        <v>6</v>
      </c>
      <c r="E70" s="22"/>
      <c r="F70" s="22"/>
      <c r="G70" s="22"/>
      <c r="H70" s="22"/>
      <c r="I70" s="22"/>
      <c r="J70" s="22"/>
      <c r="K70" s="22"/>
      <c r="L70" s="22"/>
    </row>
    <row r="71" ht="14.25">
      <c r="A71" s="22"/>
      <c r="B71" s="29"/>
      <c r="C71" s="38" t="s">
        <v>72</v>
      </c>
      <c r="D71" s="40">
        <f>QUARTILE(A60:A70,3)+1.5*(QUARTILE(A60:A70,3)-QUARTILE(A60:A70,1))</f>
        <v>126</v>
      </c>
      <c r="E71" s="22"/>
      <c r="F71" s="22"/>
      <c r="G71" s="22"/>
      <c r="H71" s="22"/>
      <c r="I71" s="22"/>
      <c r="J71" s="22"/>
      <c r="K71" s="22"/>
      <c r="L71" s="22"/>
    </row>
    <row r="72" ht="14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</row>
    <row r="73" ht="14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</row>
    <row r="74" ht="14.25">
      <c r="A74" s="23" t="s">
        <v>79</v>
      </c>
      <c r="B74" s="23"/>
      <c r="C74" s="23"/>
      <c r="D74" s="23"/>
      <c r="E74" s="23"/>
      <c r="F74" s="23"/>
      <c r="G74" s="23"/>
      <c r="H74" s="23"/>
      <c r="I74" s="23"/>
      <c r="J74" s="23"/>
      <c r="K74" s="22"/>
      <c r="L74" s="22"/>
    </row>
    <row r="75" ht="14.25">
      <c r="A75" s="39" t="s">
        <v>58</v>
      </c>
      <c r="B75" s="22"/>
      <c r="C75" s="41"/>
      <c r="D75" s="41"/>
      <c r="E75" s="22"/>
      <c r="F75" s="22"/>
      <c r="G75" s="22"/>
      <c r="H75" s="22"/>
      <c r="I75" s="22"/>
      <c r="J75" s="22"/>
      <c r="K75" s="22"/>
      <c r="L75" s="22"/>
    </row>
    <row r="76" ht="14.25">
      <c r="A76" s="38">
        <v>35</v>
      </c>
      <c r="B76" s="29"/>
      <c r="C76" s="35" t="s">
        <v>80</v>
      </c>
      <c r="D76" s="36"/>
      <c r="E76" s="22"/>
      <c r="F76" s="22"/>
      <c r="G76" s="22"/>
      <c r="H76" s="22"/>
      <c r="I76" s="22"/>
      <c r="J76" s="22"/>
      <c r="K76" s="22"/>
      <c r="L76" s="22"/>
    </row>
    <row r="77" ht="14.25">
      <c r="A77" s="38">
        <v>49</v>
      </c>
      <c r="B77" s="29"/>
      <c r="C77" s="39" t="s">
        <v>61</v>
      </c>
      <c r="D77" s="39" t="s">
        <v>62</v>
      </c>
      <c r="E77" s="22"/>
      <c r="F77" s="22"/>
      <c r="G77" s="22"/>
      <c r="H77" s="22"/>
      <c r="I77" s="22"/>
      <c r="J77" s="22"/>
      <c r="K77" s="22"/>
      <c r="L77" s="22"/>
    </row>
    <row r="78" ht="14.25">
      <c r="A78" s="38">
        <v>49</v>
      </c>
      <c r="B78" s="29"/>
      <c r="C78" s="38" t="s">
        <v>63</v>
      </c>
      <c r="D78" s="40">
        <f>COUNT(A76:A87)</f>
        <v>12</v>
      </c>
      <c r="E78" s="22"/>
      <c r="F78" s="22"/>
      <c r="G78" s="22"/>
      <c r="H78" s="22"/>
      <c r="I78" s="22"/>
      <c r="J78" s="22"/>
      <c r="K78" s="22"/>
      <c r="L78" s="22"/>
    </row>
    <row r="79" ht="14.25">
      <c r="A79" s="38">
        <v>54</v>
      </c>
      <c r="B79" s="29"/>
      <c r="C79" s="38" t="s">
        <v>64</v>
      </c>
      <c r="D79" s="40">
        <f>MAX(A76:A87)</f>
        <v>95</v>
      </c>
      <c r="E79" s="22"/>
      <c r="F79" s="22"/>
      <c r="G79" s="22"/>
      <c r="H79" s="22"/>
      <c r="I79" s="22"/>
      <c r="J79" s="22"/>
      <c r="K79" s="22"/>
      <c r="L79" s="22"/>
    </row>
    <row r="80" ht="14.25">
      <c r="A80" s="38">
        <v>59</v>
      </c>
      <c r="B80" s="29"/>
      <c r="C80" s="38" t="s">
        <v>65</v>
      </c>
      <c r="D80" s="40">
        <f>MIN(A76:A87)</f>
        <v>35</v>
      </c>
      <c r="E80" s="22"/>
      <c r="F80" s="22"/>
      <c r="G80" s="22"/>
      <c r="H80" s="22"/>
      <c r="I80" s="22"/>
      <c r="J80" s="22"/>
      <c r="K80" s="22"/>
      <c r="L80" s="22"/>
    </row>
    <row r="81" ht="14.25">
      <c r="A81" s="38">
        <v>65</v>
      </c>
      <c r="B81" s="29"/>
      <c r="C81" s="38" t="s">
        <v>66</v>
      </c>
      <c r="D81" s="40">
        <f>AVERAGE(A76:A87)</f>
        <v>64.833333333333329</v>
      </c>
      <c r="E81" s="22"/>
      <c r="F81" s="22"/>
      <c r="G81" s="22"/>
      <c r="H81" s="22"/>
      <c r="I81" s="22"/>
      <c r="J81" s="22"/>
      <c r="K81" s="22"/>
      <c r="L81" s="22"/>
    </row>
    <row r="82" ht="14.25">
      <c r="A82" s="38">
        <v>65</v>
      </c>
      <c r="B82" s="29"/>
      <c r="C82" s="38" t="s">
        <v>67</v>
      </c>
      <c r="D82" s="40">
        <f>MEDIAN(A76:A87)</f>
        <v>65</v>
      </c>
      <c r="E82" s="22"/>
      <c r="F82" s="22"/>
      <c r="G82" s="22"/>
      <c r="H82" s="22"/>
      <c r="I82" s="22"/>
      <c r="J82" s="22"/>
      <c r="K82" s="22"/>
      <c r="L82" s="22"/>
    </row>
    <row r="83" ht="14.25">
      <c r="A83" s="38">
        <v>66</v>
      </c>
      <c r="B83" s="29"/>
      <c r="C83" s="38" t="s">
        <v>68</v>
      </c>
      <c r="D83" s="40">
        <f>QUARTILE(A76:A87,1)</f>
        <v>52.75</v>
      </c>
      <c r="E83" s="22"/>
      <c r="F83" s="22"/>
      <c r="G83" s="22"/>
      <c r="H83" s="22"/>
      <c r="I83" s="22"/>
      <c r="J83" s="22"/>
      <c r="K83" s="22"/>
      <c r="L83" s="22"/>
    </row>
    <row r="84" ht="14.25">
      <c r="A84" s="38">
        <v>68</v>
      </c>
      <c r="B84" s="29"/>
      <c r="C84" s="38" t="s">
        <v>69</v>
      </c>
      <c r="D84" s="40">
        <f>QUARTILE(A76:A87,3)</f>
        <v>72</v>
      </c>
      <c r="E84" s="22"/>
      <c r="F84" s="22"/>
      <c r="G84" s="22"/>
      <c r="H84" s="22"/>
      <c r="I84" s="22"/>
      <c r="J84" s="22"/>
      <c r="K84" s="22"/>
      <c r="L84" s="22"/>
    </row>
    <row r="85" ht="14.25">
      <c r="A85" s="38">
        <v>84</v>
      </c>
      <c r="B85" s="29"/>
      <c r="C85" s="38" t="s">
        <v>70</v>
      </c>
      <c r="D85" s="40">
        <f>QUARTILE(A76:A87,3)-QUARTILE(A76:A87,1)</f>
        <v>19.25</v>
      </c>
      <c r="E85" s="22"/>
      <c r="F85" s="22"/>
      <c r="G85" s="22"/>
      <c r="H85" s="22"/>
      <c r="I85" s="22"/>
      <c r="J85" s="22"/>
      <c r="K85" s="22"/>
      <c r="L85" s="22"/>
    </row>
    <row r="86" ht="14.25">
      <c r="A86" s="38">
        <v>89</v>
      </c>
      <c r="B86" s="29"/>
      <c r="C86" s="38" t="s">
        <v>71</v>
      </c>
      <c r="D86" s="40">
        <f>QUARTILE(A76:A87,1)-1.5*(QUARTILE(A76:A87,3)-QUARTILE(A76:A87,1))</f>
        <v>23.875</v>
      </c>
      <c r="E86" s="22"/>
      <c r="F86" s="22"/>
      <c r="G86" s="22"/>
      <c r="H86" s="22"/>
      <c r="I86" s="22"/>
      <c r="J86" s="22"/>
      <c r="K86" s="22"/>
      <c r="L86" s="22"/>
    </row>
    <row r="87" ht="14.25">
      <c r="A87" s="38">
        <v>95</v>
      </c>
      <c r="B87" s="29"/>
      <c r="C87" s="38" t="s">
        <v>72</v>
      </c>
      <c r="D87" s="40">
        <f>QUARTILE(A76:A87,3)+1.5*(QUARTILE(A76:A87,3)-QUARTILE(A76:A87,1))</f>
        <v>100.875</v>
      </c>
      <c r="E87" s="22"/>
      <c r="F87" s="22"/>
      <c r="G87" s="22"/>
      <c r="H87" s="22"/>
      <c r="I87" s="22"/>
      <c r="J87" s="22"/>
      <c r="K87" s="22"/>
      <c r="L87" s="22"/>
    </row>
    <row r="88" ht="14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</row>
    <row r="89" ht="14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</row>
    <row r="90" ht="14.25">
      <c r="A90" s="23" t="s">
        <v>81</v>
      </c>
      <c r="B90" s="23"/>
      <c r="C90" s="23"/>
      <c r="D90" s="23"/>
      <c r="E90" s="23"/>
      <c r="F90" s="23"/>
      <c r="G90" s="23"/>
      <c r="H90" s="23"/>
      <c r="I90" s="23"/>
      <c r="J90" s="23"/>
      <c r="K90" s="22"/>
      <c r="L90" s="22"/>
    </row>
    <row r="91" ht="14.25">
      <c r="A91" s="39" t="s">
        <v>58</v>
      </c>
      <c r="B91" s="22"/>
      <c r="C91" s="41"/>
      <c r="D91" s="41"/>
      <c r="E91" s="22"/>
      <c r="F91" s="22"/>
      <c r="G91" s="22"/>
      <c r="H91" s="22"/>
      <c r="I91" s="22"/>
      <c r="J91" s="22"/>
      <c r="K91" s="22"/>
      <c r="L91" s="22"/>
    </row>
    <row r="92" ht="14.25">
      <c r="A92" s="38">
        <v>24</v>
      </c>
      <c r="B92" s="29"/>
      <c r="C92" s="35" t="s">
        <v>82</v>
      </c>
      <c r="D92" s="36"/>
      <c r="E92" s="22"/>
      <c r="F92" s="22"/>
      <c r="G92" s="22"/>
      <c r="H92" s="22"/>
      <c r="I92" s="22"/>
      <c r="J92" s="22"/>
      <c r="K92" s="22"/>
      <c r="L92" s="22"/>
    </row>
    <row r="93" ht="14.25">
      <c r="A93" s="38">
        <v>26</v>
      </c>
      <c r="B93" s="29"/>
      <c r="C93" s="39" t="s">
        <v>61</v>
      </c>
      <c r="D93" s="39" t="s">
        <v>62</v>
      </c>
      <c r="E93" s="22"/>
      <c r="F93" s="22"/>
      <c r="G93" s="22"/>
      <c r="H93" s="22"/>
      <c r="I93" s="22"/>
      <c r="J93" s="22"/>
      <c r="K93" s="22"/>
      <c r="L93" s="22"/>
    </row>
    <row r="94" ht="14.25">
      <c r="A94" s="38">
        <v>35</v>
      </c>
      <c r="B94" s="29"/>
      <c r="C94" s="38" t="s">
        <v>63</v>
      </c>
      <c r="D94" s="40">
        <f>COUNT(A92:A103)</f>
        <v>12</v>
      </c>
      <c r="E94" s="22"/>
      <c r="F94" s="22"/>
      <c r="G94" s="22"/>
      <c r="H94" s="22"/>
      <c r="I94" s="22"/>
      <c r="J94" s="22"/>
      <c r="K94" s="22"/>
      <c r="L94" s="22"/>
    </row>
    <row r="95" ht="14.25">
      <c r="A95" s="38">
        <v>35</v>
      </c>
      <c r="B95" s="29"/>
      <c r="C95" s="38" t="s">
        <v>64</v>
      </c>
      <c r="D95" s="40">
        <f>MAX(A92:A103)</f>
        <v>89</v>
      </c>
      <c r="E95" s="22"/>
      <c r="F95" s="22"/>
      <c r="G95" s="22"/>
      <c r="H95" s="22"/>
      <c r="I95" s="22"/>
      <c r="J95" s="22"/>
      <c r="K95" s="22"/>
      <c r="L95" s="22"/>
    </row>
    <row r="96" ht="14.25">
      <c r="A96" s="38">
        <v>51</v>
      </c>
      <c r="B96" s="29"/>
      <c r="C96" s="38" t="s">
        <v>65</v>
      </c>
      <c r="D96" s="40">
        <f>MIN(A92:A103)</f>
        <v>24</v>
      </c>
      <c r="E96" s="22"/>
      <c r="F96" s="22"/>
      <c r="G96" s="22"/>
      <c r="H96" s="22"/>
      <c r="I96" s="22"/>
      <c r="J96" s="22"/>
      <c r="K96" s="22"/>
      <c r="L96" s="22"/>
    </row>
    <row r="97" ht="14.25">
      <c r="A97" s="38">
        <v>59</v>
      </c>
      <c r="B97" s="29"/>
      <c r="C97" s="38" t="s">
        <v>66</v>
      </c>
      <c r="D97" s="40">
        <f>AVERAGE(A92:A103)</f>
        <v>56.083333333333336</v>
      </c>
      <c r="E97" s="22"/>
      <c r="F97" s="22"/>
      <c r="G97" s="22"/>
      <c r="H97" s="22"/>
      <c r="I97" s="22"/>
      <c r="J97" s="22"/>
      <c r="K97" s="22"/>
      <c r="L97" s="22"/>
    </row>
    <row r="98" ht="14.25">
      <c r="A98" s="38">
        <v>62</v>
      </c>
      <c r="B98" s="29"/>
      <c r="C98" s="38" t="s">
        <v>67</v>
      </c>
      <c r="D98" s="40">
        <f>MEDIAN(A92:A103)</f>
        <v>60.5</v>
      </c>
      <c r="E98" s="22"/>
      <c r="F98" s="22"/>
      <c r="G98" s="22"/>
      <c r="H98" s="22"/>
      <c r="I98" s="22"/>
      <c r="J98" s="22"/>
      <c r="K98" s="22"/>
      <c r="L98" s="22"/>
    </row>
    <row r="99" ht="14.25">
      <c r="A99" s="38">
        <v>65</v>
      </c>
      <c r="B99" s="29"/>
      <c r="C99" s="38" t="s">
        <v>68</v>
      </c>
      <c r="D99" s="40">
        <f>QUARTILE(A92:A103,1)</f>
        <v>35</v>
      </c>
      <c r="E99" s="22"/>
      <c r="F99" s="22"/>
      <c r="G99" s="22"/>
      <c r="H99" s="22"/>
      <c r="I99" s="22"/>
      <c r="J99" s="22"/>
      <c r="K99" s="22"/>
      <c r="L99" s="22"/>
    </row>
    <row r="100" ht="14.25">
      <c r="A100" s="38">
        <v>67</v>
      </c>
      <c r="B100" s="29"/>
      <c r="C100" s="38" t="s">
        <v>69</v>
      </c>
      <c r="D100" s="40">
        <f>QUARTILE(A92:A103,3)</f>
        <v>69.25</v>
      </c>
      <c r="E100" s="22"/>
      <c r="F100" s="22"/>
      <c r="G100" s="22"/>
      <c r="H100" s="22"/>
      <c r="I100" s="22"/>
      <c r="J100" s="22"/>
      <c r="K100" s="22"/>
      <c r="L100" s="22"/>
    </row>
    <row r="101" ht="14.25">
      <c r="A101" s="38">
        <v>76</v>
      </c>
      <c r="B101" s="29"/>
      <c r="C101" s="38" t="s">
        <v>70</v>
      </c>
      <c r="D101" s="40">
        <f>QUARTILE(A92:A103,3)-QUARTILE(A92:A103,1)</f>
        <v>34.25</v>
      </c>
      <c r="E101" s="22"/>
      <c r="F101" s="22"/>
      <c r="G101" s="22"/>
      <c r="H101" s="22"/>
      <c r="I101" s="22"/>
      <c r="J101" s="22"/>
      <c r="K101" s="22"/>
      <c r="L101" s="22"/>
    </row>
    <row r="102" ht="14.25">
      <c r="A102" s="38">
        <v>84</v>
      </c>
      <c r="B102" s="29"/>
      <c r="C102" s="38" t="s">
        <v>71</v>
      </c>
      <c r="D102" s="40">
        <f>QUARTILE(A92:A103,1)-1.5*(QUARTILE(A92:A103,3)-QUARTILE(A92:A103,1))</f>
        <v>-16.375</v>
      </c>
      <c r="E102" s="22"/>
      <c r="F102" s="22"/>
      <c r="G102" s="22"/>
      <c r="H102" s="22"/>
      <c r="I102" s="22"/>
      <c r="J102" s="22"/>
      <c r="K102" s="22"/>
      <c r="L102" s="22"/>
    </row>
    <row r="103" ht="14.25">
      <c r="A103" s="38">
        <v>89</v>
      </c>
      <c r="B103" s="29"/>
      <c r="C103" s="38" t="s">
        <v>72</v>
      </c>
      <c r="D103" s="40">
        <f>QUARTILE(A92:A103,3)+1.5*(QUARTILE(A92:A103,3)-QUARTILE(A92:A103,1))</f>
        <v>120.625</v>
      </c>
      <c r="E103" s="22"/>
      <c r="F103" s="22"/>
      <c r="G103" s="22"/>
      <c r="H103" s="22"/>
      <c r="I103" s="22"/>
      <c r="J103" s="22"/>
      <c r="K103" s="22"/>
      <c r="L103" s="22"/>
    </row>
    <row r="104" ht="14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</row>
    <row r="105" ht="14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</row>
    <row r="106" ht="14.25">
      <c r="A106" s="23" t="s">
        <v>83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2"/>
      <c r="L106" s="22"/>
    </row>
    <row r="107" ht="14.25">
      <c r="A107" s="39" t="s">
        <v>84</v>
      </c>
      <c r="B107" s="39" t="s">
        <v>85</v>
      </c>
      <c r="C107" s="37"/>
      <c r="D107" s="41"/>
      <c r="E107" s="41"/>
      <c r="F107" s="22"/>
      <c r="G107" s="41"/>
      <c r="H107" s="41"/>
      <c r="I107" s="22"/>
      <c r="J107" s="22"/>
      <c r="K107" s="22"/>
      <c r="L107" s="22"/>
    </row>
    <row r="108" ht="14.25">
      <c r="A108" s="38">
        <v>35</v>
      </c>
      <c r="B108" s="38">
        <v>24</v>
      </c>
      <c r="C108" s="25"/>
      <c r="D108" s="35" t="s">
        <v>86</v>
      </c>
      <c r="E108" s="36"/>
      <c r="F108" s="25"/>
      <c r="G108" s="35" t="s">
        <v>87</v>
      </c>
      <c r="H108" s="36"/>
      <c r="I108" s="22"/>
      <c r="J108" s="22"/>
      <c r="K108" s="22"/>
      <c r="L108" s="22"/>
    </row>
    <row r="109" ht="14.25">
      <c r="A109" s="38">
        <v>49</v>
      </c>
      <c r="B109" s="38">
        <v>26</v>
      </c>
      <c r="C109" s="25"/>
      <c r="D109" s="39" t="s">
        <v>61</v>
      </c>
      <c r="E109" s="39" t="s">
        <v>88</v>
      </c>
      <c r="F109" s="25"/>
      <c r="G109" s="39" t="s">
        <v>61</v>
      </c>
      <c r="H109" s="39" t="s">
        <v>89</v>
      </c>
      <c r="I109" s="22"/>
      <c r="J109" s="22"/>
      <c r="K109" s="22"/>
      <c r="L109" s="22"/>
    </row>
    <row r="110" ht="14.25">
      <c r="A110" s="38">
        <v>49</v>
      </c>
      <c r="B110" s="38">
        <v>35</v>
      </c>
      <c r="C110" s="25"/>
      <c r="D110" s="38" t="s">
        <v>90</v>
      </c>
      <c r="E110" s="40">
        <f>COUNT(A108:A119)</f>
        <v>12</v>
      </c>
      <c r="F110" s="25"/>
      <c r="G110" s="38" t="s">
        <v>90</v>
      </c>
      <c r="H110" s="40">
        <f>COUNT(B108:B119)</f>
        <v>12</v>
      </c>
      <c r="I110" s="22"/>
      <c r="J110" s="22"/>
      <c r="K110" s="22"/>
      <c r="L110" s="22"/>
    </row>
    <row r="111" ht="14.25">
      <c r="A111" s="38">
        <v>54</v>
      </c>
      <c r="B111" s="38">
        <v>35</v>
      </c>
      <c r="C111" s="25"/>
      <c r="D111" s="38" t="s">
        <v>64</v>
      </c>
      <c r="E111" s="40">
        <f>MAX(A108:A119)</f>
        <v>95</v>
      </c>
      <c r="F111" s="25"/>
      <c r="G111" s="38" t="s">
        <v>64</v>
      </c>
      <c r="H111" s="40">
        <f>MAX(B108:B119)</f>
        <v>89</v>
      </c>
      <c r="I111" s="22"/>
      <c r="J111" s="22"/>
      <c r="K111" s="22"/>
      <c r="L111" s="22"/>
    </row>
    <row r="112" ht="14.25">
      <c r="A112" s="38">
        <v>59</v>
      </c>
      <c r="B112" s="38">
        <v>51</v>
      </c>
      <c r="C112" s="25"/>
      <c r="D112" s="38" t="s">
        <v>65</v>
      </c>
      <c r="E112" s="40">
        <f>MIN(A108:A119)</f>
        <v>35</v>
      </c>
      <c r="F112" s="25"/>
      <c r="G112" s="38" t="s">
        <v>65</v>
      </c>
      <c r="H112" s="40">
        <f>MIN(B108:B119)</f>
        <v>24</v>
      </c>
      <c r="I112" s="22"/>
      <c r="J112" s="22"/>
      <c r="K112" s="22"/>
      <c r="L112" s="22"/>
    </row>
    <row r="113" ht="14.25">
      <c r="A113" s="38">
        <v>65</v>
      </c>
      <c r="B113" s="38">
        <v>59</v>
      </c>
      <c r="C113" s="25"/>
      <c r="D113" s="38" t="s">
        <v>66</v>
      </c>
      <c r="E113" s="40">
        <f>AVERAGE(A108:A119)</f>
        <v>64.833333333333329</v>
      </c>
      <c r="F113" s="25"/>
      <c r="G113" s="38" t="s">
        <v>66</v>
      </c>
      <c r="H113" s="40">
        <f>AVERAGE(B108:B119)</f>
        <v>56.083333333333336</v>
      </c>
      <c r="I113" s="22"/>
      <c r="J113" s="22"/>
      <c r="K113" s="22"/>
      <c r="L113" s="22"/>
    </row>
    <row r="114" ht="14.25">
      <c r="A114" s="38">
        <v>65</v>
      </c>
      <c r="B114" s="38">
        <v>62</v>
      </c>
      <c r="C114" s="25"/>
      <c r="D114" s="38" t="s">
        <v>91</v>
      </c>
      <c r="E114" s="40">
        <f>MEDIAN(A108:A119)</f>
        <v>65</v>
      </c>
      <c r="F114" s="25"/>
      <c r="G114" s="38" t="s">
        <v>91</v>
      </c>
      <c r="H114" s="40">
        <f>MEDIAN(B108:B119)</f>
        <v>60.5</v>
      </c>
      <c r="I114" s="22"/>
      <c r="J114" s="22"/>
      <c r="K114" s="22"/>
      <c r="L114" s="22"/>
    </row>
    <row r="115" ht="14.25">
      <c r="A115" s="38">
        <v>66</v>
      </c>
      <c r="B115" s="38">
        <v>65</v>
      </c>
      <c r="C115" s="25"/>
      <c r="D115" s="38" t="s">
        <v>1</v>
      </c>
      <c r="E115" s="40">
        <f>QUARTILE(A108:A119,1)</f>
        <v>52.75</v>
      </c>
      <c r="F115" s="25"/>
      <c r="G115" s="38" t="s">
        <v>1</v>
      </c>
      <c r="H115" s="40">
        <f>QUARTILE(B108:B119,1)</f>
        <v>35</v>
      </c>
      <c r="I115" s="22"/>
      <c r="J115" s="22"/>
      <c r="K115" s="22"/>
      <c r="L115" s="22"/>
    </row>
    <row r="116" ht="14.25">
      <c r="A116" s="38">
        <v>68</v>
      </c>
      <c r="B116" s="38">
        <v>67</v>
      </c>
      <c r="C116" s="25"/>
      <c r="D116" s="38" t="s">
        <v>7</v>
      </c>
      <c r="E116" s="40">
        <f>QUARTILE(A108:A119,3)</f>
        <v>72</v>
      </c>
      <c r="F116" s="25"/>
      <c r="G116" s="38" t="s">
        <v>7</v>
      </c>
      <c r="H116" s="40">
        <f>QUARTILE(B108:B119,3)</f>
        <v>69.25</v>
      </c>
      <c r="I116" s="22"/>
      <c r="J116" s="22"/>
      <c r="K116" s="22"/>
      <c r="L116" s="22"/>
    </row>
    <row r="117" ht="14.25">
      <c r="A117" s="38">
        <v>84</v>
      </c>
      <c r="B117" s="38">
        <v>76</v>
      </c>
      <c r="C117" s="25"/>
      <c r="D117" s="38" t="s">
        <v>92</v>
      </c>
      <c r="E117" s="40">
        <f>QUARTILE(A108:A119,3)-QUARTILE(A108:A119,1)</f>
        <v>19.25</v>
      </c>
      <c r="F117" s="25"/>
      <c r="G117" s="38" t="s">
        <v>92</v>
      </c>
      <c r="H117" s="40">
        <f>QUARTILE(B108:B119,3)-QUARTILE(B108:B119,1)</f>
        <v>34.25</v>
      </c>
      <c r="I117" s="22"/>
      <c r="J117" s="22"/>
      <c r="K117" s="22"/>
      <c r="L117" s="22"/>
    </row>
    <row r="118" ht="14.25">
      <c r="A118" s="38">
        <v>89</v>
      </c>
      <c r="B118" s="38">
        <v>84</v>
      </c>
      <c r="C118" s="25"/>
      <c r="D118" s="38" t="s">
        <v>71</v>
      </c>
      <c r="E118" s="40">
        <f>QUARTILE(A108:A119,1)-1.5*(QUARTILE(A108:A119,3)-QUARTILE(A108:A119,1))</f>
        <v>23.875</v>
      </c>
      <c r="F118" s="25"/>
      <c r="G118" s="38" t="s">
        <v>71</v>
      </c>
      <c r="H118" s="40">
        <f>QUARTILE(B108:B119,1)-1.5*(QUARTILE(B108:B119,3)-QUARTILE(B108:B119,1))</f>
        <v>-16.375</v>
      </c>
      <c r="I118" s="22"/>
      <c r="J118" s="22"/>
      <c r="K118" s="22"/>
      <c r="L118" s="22"/>
    </row>
    <row r="119" ht="14.25">
      <c r="A119" s="38">
        <v>95</v>
      </c>
      <c r="B119" s="38">
        <v>89</v>
      </c>
      <c r="C119" s="25"/>
      <c r="D119" s="38" t="s">
        <v>72</v>
      </c>
      <c r="E119" s="40">
        <f>QUARTILE(A108:A119,3)+1.5*(QUARTILE(A108:A119,3)-QUARTILE(A108:A119,1))</f>
        <v>100.875</v>
      </c>
      <c r="F119" s="25"/>
      <c r="G119" s="38" t="s">
        <v>72</v>
      </c>
      <c r="H119" s="40">
        <f>QUARTILE(B108:B119,3)+1.5*(QUARTILE(B108:B119,3)-QUARTILE(B108:B119,1))</f>
        <v>120.625</v>
      </c>
      <c r="I119" s="22"/>
      <c r="J119" s="22"/>
      <c r="K119" s="22"/>
      <c r="L119" s="22"/>
    </row>
    <row r="120" ht="14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</row>
    <row r="121" ht="14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ht="14.25">
      <c r="A122" s="23" t="s">
        <v>93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2"/>
      <c r="L122" s="22"/>
    </row>
    <row r="123" ht="14.25">
      <c r="A123" s="39" t="s">
        <v>84</v>
      </c>
      <c r="B123" s="39" t="s">
        <v>85</v>
      </c>
      <c r="C123" s="39" t="s">
        <v>94</v>
      </c>
      <c r="D123" s="37"/>
      <c r="E123" s="41"/>
      <c r="F123" s="41"/>
      <c r="G123" s="41"/>
      <c r="H123" s="41"/>
      <c r="I123" s="41"/>
      <c r="J123" s="41"/>
      <c r="K123" s="22"/>
      <c r="L123" s="22"/>
    </row>
    <row r="124" ht="14.25">
      <c r="A124" s="38">
        <v>1.6000000000000001</v>
      </c>
      <c r="B124" s="38">
        <v>5.0999999999999996</v>
      </c>
      <c r="C124" s="38">
        <v>6.5</v>
      </c>
      <c r="D124" s="25"/>
      <c r="E124" s="35" t="s">
        <v>95</v>
      </c>
      <c r="F124" s="44"/>
      <c r="G124" s="44"/>
      <c r="H124" s="44"/>
      <c r="I124" s="44"/>
      <c r="J124" s="36"/>
      <c r="K124" s="45"/>
      <c r="L124" s="41"/>
    </row>
    <row r="125" ht="14.25">
      <c r="A125" s="38">
        <v>2</v>
      </c>
      <c r="B125" s="38">
        <v>5.2999999999999998</v>
      </c>
      <c r="C125" s="38">
        <v>6.7000000000000002</v>
      </c>
      <c r="D125" s="25"/>
      <c r="E125" s="39" t="s">
        <v>61</v>
      </c>
      <c r="F125" s="39" t="s">
        <v>88</v>
      </c>
      <c r="G125" s="32"/>
      <c r="H125" s="39" t="s">
        <v>61</v>
      </c>
      <c r="I125" s="39" t="s">
        <v>89</v>
      </c>
      <c r="J125" s="32"/>
      <c r="K125" s="39" t="s">
        <v>61</v>
      </c>
      <c r="L125" s="39" t="s">
        <v>96</v>
      </c>
    </row>
    <row r="126" ht="14.25">
      <c r="A126" s="38">
        <v>2.6000000000000001</v>
      </c>
      <c r="B126" s="38">
        <v>5.4000000000000004</v>
      </c>
      <c r="C126" s="38">
        <v>7</v>
      </c>
      <c r="D126" s="25"/>
      <c r="E126" s="38" t="s">
        <v>90</v>
      </c>
      <c r="F126" s="40">
        <f>COUNT(A124:A133)</f>
        <v>10</v>
      </c>
      <c r="G126" s="25"/>
      <c r="H126" s="38" t="s">
        <v>90</v>
      </c>
      <c r="I126" s="40">
        <f>COUNT(B124:B133)</f>
        <v>10</v>
      </c>
      <c r="J126" s="25"/>
      <c r="K126" s="38" t="s">
        <v>90</v>
      </c>
      <c r="L126" s="40">
        <f>COUNT(C124:C133)</f>
        <v>10</v>
      </c>
    </row>
    <row r="127" ht="14.25">
      <c r="A127" s="38">
        <v>3</v>
      </c>
      <c r="B127" s="38">
        <v>5.5999999999999996</v>
      </c>
      <c r="C127" s="38">
        <v>7.0999999999999996</v>
      </c>
      <c r="D127" s="25"/>
      <c r="E127" s="38" t="s">
        <v>64</v>
      </c>
      <c r="F127" s="40">
        <f>MAX(A124:A133)</f>
        <v>5</v>
      </c>
      <c r="G127" s="25"/>
      <c r="H127" s="38" t="s">
        <v>64</v>
      </c>
      <c r="I127" s="40">
        <f>MAX(B124:B133)</f>
        <v>6.5</v>
      </c>
      <c r="J127" s="25"/>
      <c r="K127" s="38" t="s">
        <v>64</v>
      </c>
      <c r="L127" s="40">
        <f>MAX(C124:C133)</f>
        <v>7.7999999999999998</v>
      </c>
    </row>
    <row r="128" ht="14.25">
      <c r="A128" s="38">
        <v>3.5</v>
      </c>
      <c r="B128" s="38">
        <v>5.7999999999999998</v>
      </c>
      <c r="C128" s="38">
        <v>7.2999999999999998</v>
      </c>
      <c r="D128" s="25"/>
      <c r="E128" s="38" t="s">
        <v>65</v>
      </c>
      <c r="F128" s="40">
        <f>MIN(A124:A133)</f>
        <v>1.6000000000000001</v>
      </c>
      <c r="G128" s="25"/>
      <c r="H128" s="38" t="s">
        <v>65</v>
      </c>
      <c r="I128" s="40">
        <f>MIN(B124:B133)</f>
        <v>5.0999999999999996</v>
      </c>
      <c r="J128" s="25"/>
      <c r="K128" s="38" t="s">
        <v>65</v>
      </c>
      <c r="L128" s="40">
        <f>MIN(C124:C133)</f>
        <v>6.5</v>
      </c>
    </row>
    <row r="129" ht="14.25">
      <c r="A129" s="38">
        <v>3.8999999999999999</v>
      </c>
      <c r="B129" s="38">
        <v>6</v>
      </c>
      <c r="C129" s="38">
        <v>7.2999999999999998</v>
      </c>
      <c r="D129" s="25"/>
      <c r="E129" s="38" t="s">
        <v>66</v>
      </c>
      <c r="F129" s="40">
        <f>AVERAGE(A124:A133)</f>
        <v>3.5499999999999998</v>
      </c>
      <c r="G129" s="25"/>
      <c r="H129" s="38" t="s">
        <v>66</v>
      </c>
      <c r="I129" s="40">
        <f>AVERAGE(B124:B133)</f>
        <v>5.8100000000000005</v>
      </c>
      <c r="J129" s="25"/>
      <c r="K129" s="38" t="s">
        <v>66</v>
      </c>
      <c r="L129" s="40">
        <f>AVERAGE(C124:C133)</f>
        <v>7.2399999999999993</v>
      </c>
    </row>
    <row r="130" ht="14.25">
      <c r="A130" s="38">
        <v>4.5</v>
      </c>
      <c r="B130" s="38">
        <v>6</v>
      </c>
      <c r="C130" s="38">
        <v>7.2999999999999998</v>
      </c>
      <c r="D130" s="25"/>
      <c r="E130" s="38" t="s">
        <v>91</v>
      </c>
      <c r="F130" s="40">
        <f>MEDIAN(A124:A133)</f>
        <v>3.7000000000000002</v>
      </c>
      <c r="G130" s="25"/>
      <c r="H130" s="38" t="s">
        <v>91</v>
      </c>
      <c r="I130" s="40">
        <f>MEDIAN(B124:B133)</f>
        <v>5.9000000000000004</v>
      </c>
      <c r="J130" s="25"/>
      <c r="K130" s="38" t="s">
        <v>91</v>
      </c>
      <c r="L130" s="40">
        <f>MEDIAN(C124:C133)</f>
        <v>7.2999999999999998</v>
      </c>
    </row>
    <row r="131" ht="14.25">
      <c r="A131" s="38">
        <v>4.5999999999999996</v>
      </c>
      <c r="B131" s="38">
        <v>6.0999999999999996</v>
      </c>
      <c r="C131" s="38">
        <v>7.7000000000000002</v>
      </c>
      <c r="D131" s="25"/>
      <c r="E131" s="38" t="s">
        <v>1</v>
      </c>
      <c r="F131" s="40">
        <f>QUARTILE(A124:A133,1)</f>
        <v>2.7000000000000002</v>
      </c>
      <c r="G131" s="25"/>
      <c r="H131" s="38" t="s">
        <v>1</v>
      </c>
      <c r="I131" s="40">
        <f>QUARTILE(B124:B133,1)</f>
        <v>5.4500000000000002</v>
      </c>
      <c r="J131" s="25"/>
      <c r="K131" s="38" t="s">
        <v>1</v>
      </c>
      <c r="L131" s="40">
        <f>QUARTILE(C124:C133,1)</f>
        <v>7.0250000000000004</v>
      </c>
    </row>
    <row r="132" ht="14.25">
      <c r="A132" s="38">
        <v>4.7999999999999998</v>
      </c>
      <c r="B132" s="38">
        <v>6.2999999999999998</v>
      </c>
      <c r="C132" s="38">
        <v>7.7000000000000002</v>
      </c>
      <c r="D132" s="25"/>
      <c r="E132" s="38" t="s">
        <v>7</v>
      </c>
      <c r="F132" s="40">
        <f>QUARTILE(A124:A133,3)</f>
        <v>4.5749999999999993</v>
      </c>
      <c r="G132" s="25"/>
      <c r="H132" s="38" t="s">
        <v>7</v>
      </c>
      <c r="I132" s="40">
        <f>QUARTILE(B124:B133,3)</f>
        <v>6.0749999999999993</v>
      </c>
      <c r="J132" s="25"/>
      <c r="K132" s="38" t="s">
        <v>7</v>
      </c>
      <c r="L132" s="40">
        <f>QUARTILE(C124:C133,3)</f>
        <v>7.5999999999999996</v>
      </c>
    </row>
    <row r="133" ht="14.25">
      <c r="A133" s="38">
        <v>5</v>
      </c>
      <c r="B133" s="38">
        <v>6.5</v>
      </c>
      <c r="C133" s="38">
        <v>7.7999999999999998</v>
      </c>
      <c r="D133" s="25"/>
      <c r="E133" s="38" t="s">
        <v>92</v>
      </c>
      <c r="F133" s="40">
        <f>QUARTILE(A124:A133,3)-QUARTILE(A124:A133,1)</f>
        <v>1.8749999999999991</v>
      </c>
      <c r="G133" s="25"/>
      <c r="H133" s="38" t="s">
        <v>92</v>
      </c>
      <c r="I133" s="40">
        <f>QUARTILE(B124:B133,3)-QUARTILE(B124:B133,1)</f>
        <v>0.62499999999999911</v>
      </c>
      <c r="J133" s="25"/>
      <c r="K133" s="38" t="s">
        <v>92</v>
      </c>
      <c r="L133" s="40">
        <f>QUARTILE(C124:C133,3)-QUARTILE(C124:C133,1)</f>
        <v>0.57499999999999929</v>
      </c>
    </row>
    <row r="134" ht="14.25">
      <c r="A134" s="22"/>
      <c r="B134" s="22"/>
      <c r="C134" s="22"/>
      <c r="D134" s="29"/>
      <c r="E134" s="38" t="s">
        <v>71</v>
      </c>
      <c r="F134" s="40">
        <f>QUARTILE(A124:A133,1)-1.5*(QUARTILE(A124:A133,3)-QUARTILE(A124:A133,1))</f>
        <v>-0.11249999999999849</v>
      </c>
      <c r="G134" s="25"/>
      <c r="H134" s="38" t="s">
        <v>71</v>
      </c>
      <c r="I134" s="40">
        <f>QUARTILE(B124:B133,1)-1.5*(QUARTILE(B124:B133,3)-QUARTILE(B124:B133,1))</f>
        <v>4.5125000000000011</v>
      </c>
      <c r="J134" s="25"/>
      <c r="K134" s="38" t="s">
        <v>71</v>
      </c>
      <c r="L134" s="40">
        <f>QUARTILE(C124:C133,1)-1.5*(QUARTILE(C124:C133,3)-QUARTILE(C124:C133,1))</f>
        <v>6.1625000000000014</v>
      </c>
    </row>
    <row r="135" ht="14.25">
      <c r="A135" s="22"/>
      <c r="B135" s="22"/>
      <c r="C135" s="22"/>
      <c r="D135" s="29"/>
      <c r="E135" s="38" t="s">
        <v>72</v>
      </c>
      <c r="F135" s="40">
        <f>QUARTILE(A124:A133,3)+1.5*(QUARTILE(A124:A133,3)-QUARTILE(A124:A133,1))</f>
        <v>7.3874999999999975</v>
      </c>
      <c r="G135" s="25"/>
      <c r="H135" s="38" t="s">
        <v>72</v>
      </c>
      <c r="I135" s="40">
        <f>QUARTILE(B124:B133,3)+1.5*(QUARTILE(B124:B133,3)-QUARTILE(B124:B133,1))</f>
        <v>7.0124999999999975</v>
      </c>
      <c r="J135" s="25"/>
      <c r="K135" s="38" t="s">
        <v>72</v>
      </c>
      <c r="L135" s="40">
        <f>QUARTILE(C124:C133,3)+1.5*(QUARTILE(C124:C133,3)-QUARTILE(C124:C133,1))</f>
        <v>8.4624999999999986</v>
      </c>
    </row>
  </sheetData>
  <mergeCells count="20">
    <mergeCell ref="A1:L1"/>
    <mergeCell ref="A3:J3"/>
    <mergeCell ref="A4:B4"/>
    <mergeCell ref="E4:F4"/>
    <mergeCell ref="G4:H4"/>
    <mergeCell ref="A26:J26"/>
    <mergeCell ref="C28:D28"/>
    <mergeCell ref="A42:J42"/>
    <mergeCell ref="C44:D44"/>
    <mergeCell ref="A58:J58"/>
    <mergeCell ref="C60:D60"/>
    <mergeCell ref="A74:J74"/>
    <mergeCell ref="C76:D76"/>
    <mergeCell ref="A90:J90"/>
    <mergeCell ref="C92:D92"/>
    <mergeCell ref="A106:J106"/>
    <mergeCell ref="D108:E108"/>
    <mergeCell ref="G108:H108"/>
    <mergeCell ref="A122:J122"/>
    <mergeCell ref="E124:J12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ht="15.75">
      <c r="A1" s="34" t="s">
        <v>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ht="42.350000000000001" customHeight="1">
      <c r="A3" s="46" t="s">
        <v>98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>
      <c r="A4" s="47" t="s">
        <v>99</v>
      </c>
      <c r="B4" s="48"/>
      <c r="C4" s="48"/>
      <c r="D4" s="48"/>
      <c r="E4" s="48"/>
      <c r="F4" s="48"/>
      <c r="G4" s="49"/>
      <c r="H4" s="37"/>
      <c r="I4" s="22"/>
      <c r="J4" s="22"/>
      <c r="K4" s="22"/>
      <c r="L4" s="22"/>
      <c r="M4" s="22"/>
      <c r="N4" s="22"/>
    </row>
    <row r="5">
      <c r="A5" s="26">
        <v>14</v>
      </c>
      <c r="B5" s="26">
        <v>18</v>
      </c>
      <c r="C5" s="26">
        <v>22</v>
      </c>
      <c r="D5" s="26">
        <v>17</v>
      </c>
      <c r="E5" s="26">
        <v>23</v>
      </c>
      <c r="F5" s="22"/>
      <c r="G5" s="22"/>
      <c r="H5" s="22"/>
      <c r="I5" s="22"/>
      <c r="J5" s="22"/>
      <c r="K5" s="22"/>
      <c r="L5" s="22"/>
      <c r="M5" s="22"/>
      <c r="N5" s="22"/>
    </row>
    <row r="6">
      <c r="A6" s="26">
        <v>19</v>
      </c>
      <c r="B6" s="26">
        <v>25</v>
      </c>
      <c r="C6" s="26">
        <v>16</v>
      </c>
      <c r="D6" s="26">
        <v>21</v>
      </c>
      <c r="E6" s="26">
        <v>28</v>
      </c>
      <c r="F6" s="22"/>
      <c r="G6" s="22"/>
      <c r="H6" s="22"/>
      <c r="I6" s="22"/>
      <c r="J6" s="22"/>
      <c r="K6" s="22"/>
      <c r="L6" s="22"/>
      <c r="M6" s="22"/>
      <c r="N6" s="22"/>
    </row>
    <row r="7">
      <c r="A7" s="26">
        <v>15</v>
      </c>
      <c r="B7" s="26">
        <v>20</v>
      </c>
      <c r="C7" s="26">
        <v>24</v>
      </c>
      <c r="D7" s="26">
        <v>22</v>
      </c>
      <c r="E7" s="26">
        <v>19</v>
      </c>
      <c r="F7" s="22"/>
      <c r="G7" s="22"/>
      <c r="H7" s="22"/>
      <c r="I7" s="22"/>
      <c r="J7" s="22"/>
      <c r="K7" s="22"/>
      <c r="L7" s="22"/>
      <c r="M7" s="22"/>
      <c r="N7" s="22"/>
    </row>
    <row r="8">
      <c r="A8" s="26">
        <v>27</v>
      </c>
      <c r="B8" s="26">
        <v>21</v>
      </c>
      <c r="C8" s="26">
        <v>18</v>
      </c>
      <c r="D8" s="26">
        <v>23</v>
      </c>
      <c r="E8" s="26">
        <v>26</v>
      </c>
      <c r="F8" s="22"/>
      <c r="G8" s="22"/>
      <c r="H8" s="22"/>
      <c r="I8" s="22"/>
      <c r="J8" s="22"/>
      <c r="K8" s="22"/>
      <c r="L8" s="22"/>
      <c r="M8" s="22"/>
      <c r="N8" s="22"/>
    </row>
    <row r="9">
      <c r="A9" s="26">
        <v>20</v>
      </c>
      <c r="B9" s="26">
        <v>24</v>
      </c>
      <c r="C9" s="26">
        <v>17</v>
      </c>
      <c r="D9" s="26">
        <v>22</v>
      </c>
      <c r="E9" s="26">
        <v>25</v>
      </c>
      <c r="F9" s="22"/>
      <c r="G9" s="22"/>
      <c r="H9" s="22"/>
      <c r="I9" s="22"/>
      <c r="J9" s="22"/>
      <c r="K9" s="22"/>
      <c r="L9" s="22"/>
      <c r="M9" s="22"/>
      <c r="N9" s="22"/>
    </row>
    <row r="10">
      <c r="A10" s="26">
        <v>19</v>
      </c>
      <c r="B10" s="26">
        <v>23</v>
      </c>
      <c r="C10" s="26">
        <v>21</v>
      </c>
      <c r="D10" s="26">
        <v>16</v>
      </c>
      <c r="E10" s="26">
        <v>28</v>
      </c>
      <c r="F10" s="22"/>
      <c r="G10" s="22"/>
      <c r="H10" s="22"/>
      <c r="I10" s="22"/>
      <c r="J10" s="22"/>
      <c r="K10" s="22"/>
      <c r="L10" s="22"/>
      <c r="M10" s="22"/>
      <c r="N10" s="22"/>
    </row>
    <row r="11">
      <c r="A11" s="50"/>
      <c r="B11" s="50"/>
      <c r="C11" s="50"/>
      <c r="D11" s="50"/>
      <c r="E11" s="50"/>
      <c r="F11" s="41"/>
      <c r="G11" s="41"/>
      <c r="H11" s="22"/>
      <c r="I11" s="22"/>
      <c r="J11" s="22"/>
      <c r="K11" s="22"/>
      <c r="L11" s="22"/>
      <c r="M11" s="22"/>
      <c r="N11" s="22"/>
    </row>
    <row r="12">
      <c r="A12" s="51" t="s">
        <v>100</v>
      </c>
      <c r="B12" s="52"/>
      <c r="C12" s="52"/>
      <c r="D12" s="52"/>
      <c r="E12" s="52"/>
      <c r="F12" s="52"/>
      <c r="G12" s="53"/>
      <c r="H12" s="22"/>
      <c r="I12" s="22"/>
      <c r="J12" s="22"/>
      <c r="K12" s="22"/>
      <c r="L12" s="22"/>
      <c r="M12" s="22"/>
      <c r="N12" s="22"/>
    </row>
    <row r="13" ht="42.75">
      <c r="A13" s="54" t="s">
        <v>101</v>
      </c>
      <c r="B13" s="54" t="s">
        <v>102</v>
      </c>
      <c r="C13" s="54" t="s">
        <v>103</v>
      </c>
      <c r="D13" s="54" t="s">
        <v>104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>
      <c r="A14" s="26">
        <v>14</v>
      </c>
      <c r="B14" s="26">
        <v>1</v>
      </c>
      <c r="C14" s="55">
        <f>B14/B29</f>
        <v>3.3333333333333333e-02</v>
      </c>
      <c r="D14" s="28">
        <f>C14*100</f>
        <v>3.3333333333333335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>
      <c r="A15" s="26">
        <v>15</v>
      </c>
      <c r="B15" s="26">
        <v>1</v>
      </c>
      <c r="C15" s="55">
        <f>B15/B29</f>
        <v>3.3333333333333333e-02</v>
      </c>
      <c r="D15" s="28">
        <f>C15*100</f>
        <v>3.3333333333333335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>
      <c r="A16" s="26">
        <v>16</v>
      </c>
      <c r="B16" s="26">
        <v>2</v>
      </c>
      <c r="C16" s="55">
        <f>B16/B29</f>
        <v>6.6666666666666666e-02</v>
      </c>
      <c r="D16" s="28">
        <f>C16*100</f>
        <v>6.666666666666667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>
      <c r="A17" s="26">
        <v>17</v>
      </c>
      <c r="B17" s="26">
        <v>2</v>
      </c>
      <c r="C17" s="55">
        <f>B17/B29</f>
        <v>6.6666666666666666e-02</v>
      </c>
      <c r="D17" s="28">
        <f>C17*100</f>
        <v>6.666666666666667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>
      <c r="A18" s="26">
        <v>18</v>
      </c>
      <c r="B18" s="26">
        <v>2</v>
      </c>
      <c r="C18" s="55">
        <f>B18/B29</f>
        <v>6.6666666666666666e-02</v>
      </c>
      <c r="D18" s="28">
        <f>C18*100</f>
        <v>6.666666666666667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>
      <c r="A19" s="26">
        <v>19</v>
      </c>
      <c r="B19" s="26">
        <v>3</v>
      </c>
      <c r="C19" s="55">
        <f>B19/B29</f>
        <v>0.10000000000000001</v>
      </c>
      <c r="D19" s="28">
        <f>C19*100</f>
        <v>10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>
      <c r="A20" s="26">
        <v>20</v>
      </c>
      <c r="B20" s="26">
        <v>2</v>
      </c>
      <c r="C20" s="55">
        <f>B20/B29</f>
        <v>6.6666666666666666e-02</v>
      </c>
      <c r="D20" s="28">
        <f>C20*100</f>
        <v>6.666666666666667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>
      <c r="A21" s="26">
        <v>21</v>
      </c>
      <c r="B21" s="26">
        <v>3</v>
      </c>
      <c r="C21" s="55">
        <f>B21/B29</f>
        <v>0.10000000000000001</v>
      </c>
      <c r="D21" s="28">
        <f>C21*100</f>
        <v>10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>
      <c r="A22" s="26">
        <v>22</v>
      </c>
      <c r="B22" s="26">
        <v>3</v>
      </c>
      <c r="C22" s="55">
        <f>B22/B29</f>
        <v>0.10000000000000001</v>
      </c>
      <c r="D22" s="28">
        <f>C22*100</f>
        <v>10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>
      <c r="A23" s="26">
        <v>23</v>
      </c>
      <c r="B23" s="26">
        <v>3</v>
      </c>
      <c r="C23" s="55">
        <f>B23/B29</f>
        <v>0.10000000000000001</v>
      </c>
      <c r="D23" s="28">
        <f>C23*100</f>
        <v>10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>
      <c r="A24" s="26">
        <v>24</v>
      </c>
      <c r="B24" s="26">
        <v>2</v>
      </c>
      <c r="C24" s="55">
        <f>B24/B29</f>
        <v>6.6666666666666666e-02</v>
      </c>
      <c r="D24" s="28">
        <f>C24*100</f>
        <v>6.666666666666667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>
      <c r="A25" s="26">
        <v>25</v>
      </c>
      <c r="B25" s="26">
        <v>2</v>
      </c>
      <c r="C25" s="55">
        <f>B25/B29</f>
        <v>6.6666666666666666e-02</v>
      </c>
      <c r="D25" s="28">
        <f>C25*100</f>
        <v>6.666666666666667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>
      <c r="A26" s="26">
        <v>26</v>
      </c>
      <c r="B26" s="26">
        <v>1</v>
      </c>
      <c r="C26" s="55">
        <f>B26/B29</f>
        <v>3.3333333333333333e-02</v>
      </c>
      <c r="D26" s="28">
        <f>C26*100</f>
        <v>3.3333333333333335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>
      <c r="A27" s="26">
        <v>27</v>
      </c>
      <c r="B27" s="26">
        <v>1</v>
      </c>
      <c r="C27" s="55">
        <f>B27/B29</f>
        <v>3.3333333333333333e-02</v>
      </c>
      <c r="D27" s="28">
        <f>C27*100</f>
        <v>3.3333333333333335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>
      <c r="A28" s="26">
        <v>28</v>
      </c>
      <c r="B28" s="26">
        <v>2</v>
      </c>
      <c r="C28" s="55">
        <f>B28/B29</f>
        <v>6.6666666666666666e-02</v>
      </c>
      <c r="D28" s="28">
        <f>C28*100</f>
        <v>6.666666666666667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>
      <c r="A29" s="30" t="s">
        <v>105</v>
      </c>
      <c r="B29" s="31">
        <f>SUM(B14:B28)</f>
        <v>30</v>
      </c>
      <c r="C29" s="56">
        <f>SUM(C14:C28)</f>
        <v>0.99999999999999989</v>
      </c>
      <c r="D29" s="33">
        <f>SUM(D14:D28)</f>
        <v>100.00000000000001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>
      <c r="A32" s="23" t="s">
        <v>106</v>
      </c>
      <c r="B32" s="23"/>
      <c r="C32" s="23"/>
      <c r="D32" s="23"/>
      <c r="E32" s="23"/>
      <c r="F32" s="23"/>
      <c r="G32" s="23"/>
      <c r="H32" s="23"/>
      <c r="I32" s="22"/>
      <c r="J32" s="22"/>
      <c r="K32" s="22"/>
      <c r="L32" s="22"/>
      <c r="M32" s="22"/>
      <c r="N32" s="22"/>
    </row>
    <row r="33" ht="71.25">
      <c r="A33" s="54" t="s">
        <v>107</v>
      </c>
      <c r="B33" s="54" t="s">
        <v>108</v>
      </c>
      <c r="C33" s="54" t="s">
        <v>109</v>
      </c>
      <c r="D33" s="54" t="s">
        <v>110</v>
      </c>
      <c r="E33" s="37"/>
      <c r="F33" s="22"/>
      <c r="G33" s="22"/>
      <c r="H33" s="22"/>
      <c r="I33" s="22"/>
      <c r="J33" s="22"/>
      <c r="K33" s="22"/>
      <c r="L33" s="22"/>
      <c r="M33" s="22"/>
      <c r="N33" s="22"/>
    </row>
    <row r="34">
      <c r="A34" s="26">
        <v>-2.1000000000000001</v>
      </c>
      <c r="B34" s="26">
        <v>1</v>
      </c>
      <c r="C34" s="55">
        <f>(B34-0.5)/10</f>
        <v>5.0000000000000003e-02</v>
      </c>
      <c r="D34" s="55">
        <f>NORMSINV(C34)</f>
        <v>-1.6448536269514726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>
      <c r="A35" s="26">
        <v>-1.3999999999999999</v>
      </c>
      <c r="B35" s="26">
        <v>2</v>
      </c>
      <c r="C35" s="55">
        <f>(B35-0.5)/10</f>
        <v>0.14999999999999999</v>
      </c>
      <c r="D35" s="55">
        <f>NORMSINV(C35)</f>
        <v>-1.0364333894937894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>
      <c r="A36" s="26">
        <v>-0.80000000000000004</v>
      </c>
      <c r="B36" s="26">
        <v>3</v>
      </c>
      <c r="C36" s="55">
        <f>(B36-0.5)/10</f>
        <v>0.25</v>
      </c>
      <c r="D36" s="55">
        <f>NORMSINV(C36)</f>
        <v>-0.67448975019608171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>
      <c r="A37" s="26">
        <v>-0.29999999999999999</v>
      </c>
      <c r="B37" s="26">
        <v>4</v>
      </c>
      <c r="C37" s="55">
        <f>(B37-0.5)/10</f>
        <v>0.34999999999999998</v>
      </c>
      <c r="D37" s="55">
        <f>NORMSINV(C37)</f>
        <v>-0.38532046640756762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>
      <c r="A38" s="26">
        <v>0.10000000000000001</v>
      </c>
      <c r="B38" s="26">
        <v>5</v>
      </c>
      <c r="C38" s="55">
        <f>(B38-0.5)/10</f>
        <v>0.45000000000000001</v>
      </c>
      <c r="D38" s="55">
        <f>NORMSINV(C38)</f>
        <v>-0.12566134685507399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>
      <c r="A39" s="26">
        <v>0.5</v>
      </c>
      <c r="B39" s="26">
        <v>6</v>
      </c>
      <c r="C39" s="55">
        <f>(B39-0.5)/10</f>
        <v>0.55000000000000004</v>
      </c>
      <c r="D39" s="55">
        <f>NORMSINV(C39)</f>
        <v>0.12566134685507413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>
      <c r="A40" s="26">
        <v>0.90000000000000002</v>
      </c>
      <c r="B40" s="26">
        <v>7</v>
      </c>
      <c r="C40" s="55">
        <f>(B40-0.5)/10</f>
        <v>0.65000000000000002</v>
      </c>
      <c r="D40" s="55">
        <f>NORMSINV(C40)</f>
        <v>0.38532046640756762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>
      <c r="A41" s="26">
        <v>1.3</v>
      </c>
      <c r="B41" s="26">
        <v>8</v>
      </c>
      <c r="C41" s="55">
        <f>(B41-0.5)/10</f>
        <v>0.75</v>
      </c>
      <c r="D41" s="55">
        <f>NORMSINV(C41)</f>
        <v>0.67448975019608171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>
      <c r="A42" s="26">
        <v>1.8</v>
      </c>
      <c r="B42" s="26">
        <v>9</v>
      </c>
      <c r="C42" s="55">
        <f>(B42-0.5)/10</f>
        <v>0.84999999999999998</v>
      </c>
      <c r="D42" s="55">
        <f>NORMSINV(C42)</f>
        <v>1.0364333894937894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>
      <c r="A43" s="26">
        <v>2.3999999999999999</v>
      </c>
      <c r="B43" s="26">
        <v>10</v>
      </c>
      <c r="C43" s="55">
        <f>(B43-0.5)/10</f>
        <v>0.94999999999999996</v>
      </c>
      <c r="D43" s="55">
        <f>NORMSINV(C43)</f>
        <v>1.6448536269514715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>
      <c r="A46" s="23" t="s">
        <v>111</v>
      </c>
      <c r="B46" s="23"/>
      <c r="C46" s="23"/>
      <c r="D46" s="23"/>
      <c r="E46" s="23"/>
      <c r="F46" s="23"/>
      <c r="G46" s="23"/>
      <c r="H46" s="23"/>
      <c r="I46" s="23"/>
      <c r="J46" s="22"/>
      <c r="K46" s="22"/>
      <c r="L46" s="22"/>
      <c r="M46" s="22"/>
      <c r="N46" s="22"/>
    </row>
    <row r="47" ht="71.25">
      <c r="A47" s="54" t="s">
        <v>112</v>
      </c>
      <c r="B47" s="54" t="s">
        <v>113</v>
      </c>
      <c r="C47" s="54" t="s">
        <v>108</v>
      </c>
      <c r="D47" s="54" t="s">
        <v>109</v>
      </c>
      <c r="E47" s="54" t="s">
        <v>114</v>
      </c>
      <c r="F47" s="37"/>
      <c r="G47" s="22"/>
      <c r="H47" s="22"/>
      <c r="I47" s="22"/>
      <c r="J47" s="22"/>
      <c r="K47" s="22"/>
      <c r="L47" s="22"/>
      <c r="M47" s="22"/>
      <c r="N47" s="22"/>
    </row>
    <row r="48">
      <c r="A48" s="26">
        <v>85.299999999999997</v>
      </c>
      <c r="B48" s="26">
        <v>43.799999999999997</v>
      </c>
      <c r="C48" s="26">
        <v>1</v>
      </c>
      <c r="D48" s="55">
        <f>(C48-0.5)/12</f>
        <v>4.1666666666666664e-02</v>
      </c>
      <c r="E48" s="55">
        <f>NORMSINV(D48)</f>
        <v>-1.7316643961222451</v>
      </c>
      <c r="F48" s="22"/>
      <c r="G48" s="22"/>
      <c r="H48" s="22"/>
      <c r="I48" s="22"/>
      <c r="J48" s="22"/>
      <c r="K48" s="22"/>
      <c r="L48" s="22"/>
      <c r="M48" s="22"/>
      <c r="N48" s="22"/>
    </row>
    <row r="49">
      <c r="A49" s="26">
        <v>112.7</v>
      </c>
      <c r="B49" s="26">
        <v>58.200000000000003</v>
      </c>
      <c r="C49" s="26">
        <v>2</v>
      </c>
      <c r="D49" s="55">
        <f>(C49-0.5)/12</f>
        <v>0.125</v>
      </c>
      <c r="E49" s="55">
        <f>NORMSINV(D49)</f>
        <v>-1.1503493803760079</v>
      </c>
      <c r="F49" s="22"/>
      <c r="G49" s="22"/>
      <c r="H49" s="22"/>
      <c r="I49" s="22"/>
      <c r="J49" s="22"/>
      <c r="K49" s="22"/>
      <c r="L49" s="22"/>
      <c r="M49" s="22"/>
      <c r="N49" s="22"/>
    </row>
    <row r="50">
      <c r="A50" s="26">
        <v>67.400000000000006</v>
      </c>
      <c r="B50" s="26">
        <v>67.400000000000006</v>
      </c>
      <c r="C50" s="26">
        <v>3</v>
      </c>
      <c r="D50" s="55">
        <f>(C50-0.5)/12</f>
        <v>0.20833333333333334</v>
      </c>
      <c r="E50" s="55">
        <f>NORMSINV(D50)</f>
        <v>-0.81221780149991285</v>
      </c>
      <c r="F50" s="22"/>
      <c r="G50" s="22"/>
      <c r="H50" s="22"/>
      <c r="I50" s="22"/>
      <c r="J50" s="22"/>
      <c r="K50" s="22"/>
      <c r="L50" s="22"/>
      <c r="M50" s="22"/>
      <c r="N50" s="22"/>
    </row>
    <row r="51">
      <c r="A51" s="26">
        <v>134.19999999999999</v>
      </c>
      <c r="B51" s="26">
        <v>77.900000000000006</v>
      </c>
      <c r="C51" s="26">
        <v>4</v>
      </c>
      <c r="D51" s="55">
        <f>(C51-0.5)/12</f>
        <v>0.29166666666666669</v>
      </c>
      <c r="E51" s="55">
        <f>NORMSINV(D51)</f>
        <v>-0.548522282698098</v>
      </c>
      <c r="F51" s="22"/>
      <c r="G51" s="22"/>
      <c r="H51" s="22"/>
      <c r="I51" s="22"/>
      <c r="J51" s="22"/>
      <c r="K51" s="22"/>
      <c r="L51" s="22"/>
      <c r="M51" s="22"/>
      <c r="N51" s="22"/>
    </row>
    <row r="52">
      <c r="A52" s="26">
        <v>98.599999999999994</v>
      </c>
      <c r="B52" s="26">
        <v>85.299999999999997</v>
      </c>
      <c r="C52" s="26">
        <v>5</v>
      </c>
      <c r="D52" s="55">
        <f>(C52-0.5)/12</f>
        <v>0.375</v>
      </c>
      <c r="E52" s="55">
        <f>NORMSINV(D52)</f>
        <v>-0.31863936396437514</v>
      </c>
      <c r="F52" s="22"/>
      <c r="G52" s="22"/>
      <c r="H52" s="22"/>
      <c r="I52" s="22"/>
      <c r="J52" s="22"/>
      <c r="K52" s="22"/>
      <c r="L52" s="22"/>
      <c r="M52" s="22"/>
      <c r="N52" s="22"/>
    </row>
    <row r="53">
      <c r="A53" s="26">
        <v>43.799999999999997</v>
      </c>
      <c r="B53" s="26">
        <v>89.400000000000006</v>
      </c>
      <c r="C53" s="26">
        <v>6</v>
      </c>
      <c r="D53" s="55">
        <f>(C53-0.5)/12</f>
        <v>0.45833333333333331</v>
      </c>
      <c r="E53" s="55">
        <f>NORMSINV(D53)</f>
        <v>-0.10463345561407539</v>
      </c>
      <c r="F53" s="22"/>
      <c r="G53" s="22"/>
      <c r="H53" s="22"/>
      <c r="I53" s="22"/>
      <c r="J53" s="22"/>
      <c r="K53" s="22"/>
      <c r="L53" s="22"/>
      <c r="M53" s="22"/>
      <c r="N53" s="22"/>
    </row>
    <row r="54">
      <c r="A54" s="26">
        <v>156.09999999999999</v>
      </c>
      <c r="B54" s="26">
        <v>98.599999999999994</v>
      </c>
      <c r="C54" s="26">
        <v>7</v>
      </c>
      <c r="D54" s="55">
        <f>(C54-0.5)/12</f>
        <v>0.54166666666666663</v>
      </c>
      <c r="E54" s="55">
        <f>NORMSINV(D54)</f>
        <v>0.10463345561407526</v>
      </c>
      <c r="F54" s="22"/>
      <c r="G54" s="22"/>
      <c r="H54" s="22"/>
      <c r="I54" s="22"/>
      <c r="J54" s="22"/>
      <c r="K54" s="22"/>
      <c r="L54" s="22"/>
      <c r="M54" s="22"/>
      <c r="N54" s="22"/>
    </row>
    <row r="55">
      <c r="A55" s="26">
        <v>77.900000000000006</v>
      </c>
      <c r="B55" s="26">
        <v>112.7</v>
      </c>
      <c r="C55" s="26">
        <v>8</v>
      </c>
      <c r="D55" s="55">
        <f>(C55-0.5)/12</f>
        <v>0.625</v>
      </c>
      <c r="E55" s="55">
        <f>NORMSINV(D55)</f>
        <v>0.31863936396437514</v>
      </c>
      <c r="F55" s="22"/>
      <c r="G55" s="22"/>
      <c r="H55" s="22"/>
      <c r="I55" s="22"/>
      <c r="J55" s="22"/>
      <c r="K55" s="22"/>
      <c r="L55" s="22"/>
      <c r="M55" s="22"/>
      <c r="N55" s="22"/>
    </row>
    <row r="56">
      <c r="A56" s="26">
        <v>121.5</v>
      </c>
      <c r="B56" s="26">
        <v>121.5</v>
      </c>
      <c r="C56" s="26">
        <v>9</v>
      </c>
      <c r="D56" s="55">
        <f>(C56-0.5)/12</f>
        <v>0.70833333333333337</v>
      </c>
      <c r="E56" s="55">
        <f>NORMSINV(D56)</f>
        <v>0.54852228269809822</v>
      </c>
      <c r="F56" s="22"/>
      <c r="G56" s="22"/>
      <c r="H56" s="22"/>
      <c r="I56" s="22"/>
      <c r="J56" s="22"/>
      <c r="K56" s="22"/>
      <c r="L56" s="22"/>
      <c r="M56" s="22"/>
      <c r="N56" s="22"/>
    </row>
    <row r="57">
      <c r="A57" s="26">
        <v>58.200000000000003</v>
      </c>
      <c r="B57" s="26">
        <v>134.19999999999999</v>
      </c>
      <c r="C57" s="26">
        <v>10</v>
      </c>
      <c r="D57" s="55">
        <f>(C57-0.5)/12</f>
        <v>0.79166666666666663</v>
      </c>
      <c r="E57" s="55">
        <f>NORMSINV(D57)</f>
        <v>0.81221780149991285</v>
      </c>
      <c r="F57" s="22"/>
      <c r="G57" s="22"/>
      <c r="H57" s="22"/>
      <c r="I57" s="22"/>
      <c r="J57" s="22"/>
      <c r="K57" s="22"/>
      <c r="L57" s="22"/>
      <c r="M57" s="22"/>
      <c r="N57" s="22"/>
    </row>
    <row r="58">
      <c r="A58" s="26">
        <v>89.400000000000006</v>
      </c>
      <c r="B58" s="26">
        <v>143.69999999999999</v>
      </c>
      <c r="C58" s="26">
        <v>11</v>
      </c>
      <c r="D58" s="55">
        <f>(C58-0.5)/12</f>
        <v>0.875</v>
      </c>
      <c r="E58" s="55">
        <f>NORMSINV(D58)</f>
        <v>1.1503493803760079</v>
      </c>
      <c r="F58" s="22"/>
      <c r="G58" s="22"/>
      <c r="H58" s="22"/>
      <c r="I58" s="22"/>
      <c r="J58" s="22"/>
      <c r="K58" s="22"/>
      <c r="L58" s="22"/>
      <c r="M58" s="22"/>
      <c r="N58" s="22"/>
    </row>
    <row r="59">
      <c r="A59" s="26">
        <v>143.69999999999999</v>
      </c>
      <c r="B59" s="26">
        <v>156.09999999999999</v>
      </c>
      <c r="C59" s="26">
        <v>12</v>
      </c>
      <c r="D59" s="55">
        <f>(C59-0.5)/12</f>
        <v>0.95833333333333337</v>
      </c>
      <c r="E59" s="55">
        <f>NORMSINV(D59)</f>
        <v>1.7316643961222455</v>
      </c>
      <c r="F59" s="22"/>
      <c r="G59" s="22"/>
      <c r="H59" s="22"/>
      <c r="I59" s="22"/>
      <c r="J59" s="22"/>
      <c r="K59" s="22"/>
      <c r="L59" s="22"/>
      <c r="M59" s="22"/>
      <c r="N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>
      <c r="A62" s="23" t="s">
        <v>115</v>
      </c>
      <c r="B62" s="23"/>
      <c r="C62" s="23"/>
      <c r="D62" s="23"/>
      <c r="E62" s="23"/>
      <c r="F62" s="23"/>
      <c r="G62" s="23"/>
      <c r="H62" s="23"/>
      <c r="I62" s="22"/>
      <c r="J62" s="22"/>
      <c r="K62" s="22"/>
      <c r="L62" s="22"/>
      <c r="M62" s="22"/>
      <c r="N62" s="22"/>
    </row>
    <row r="63" ht="71.25">
      <c r="A63" s="54" t="s">
        <v>116</v>
      </c>
      <c r="B63" s="54" t="s">
        <v>108</v>
      </c>
      <c r="C63" s="54" t="s">
        <v>109</v>
      </c>
      <c r="D63" s="54" t="s">
        <v>110</v>
      </c>
      <c r="E63" s="37"/>
      <c r="F63" s="22"/>
      <c r="G63" s="22"/>
      <c r="H63" s="22"/>
      <c r="I63" s="22"/>
      <c r="J63" s="22"/>
      <c r="K63" s="22"/>
      <c r="L63" s="22"/>
      <c r="M63" s="22"/>
      <c r="N63" s="22"/>
    </row>
    <row r="64">
      <c r="A64" s="26">
        <v>108</v>
      </c>
      <c r="B64" s="26">
        <v>1</v>
      </c>
      <c r="C64" s="55">
        <f>(B64-0.5)/12</f>
        <v>4.1666666666666664e-02</v>
      </c>
      <c r="D64" s="55">
        <f>NORMSINV(C64)</f>
        <v>-1.7316643961222451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>
      <c r="A65" s="26">
        <v>115</v>
      </c>
      <c r="B65" s="26">
        <v>2</v>
      </c>
      <c r="C65" s="55">
        <f>(B65-0.5)/12</f>
        <v>0.125</v>
      </c>
      <c r="D65" s="55">
        <f>NORMSINV(C65)</f>
        <v>-1.1503493803760079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>
      <c r="A66" s="26">
        <v>118</v>
      </c>
      <c r="B66" s="26">
        <v>3</v>
      </c>
      <c r="C66" s="55">
        <f>(B66-0.5)/12</f>
        <v>0.20833333333333334</v>
      </c>
      <c r="D66" s="55">
        <f>NORMSINV(C66)</f>
        <v>-0.81221780149991285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>
      <c r="A67" s="26">
        <v>122</v>
      </c>
      <c r="B67" s="26">
        <v>4</v>
      </c>
      <c r="C67" s="55">
        <f>(B67-0.5)/12</f>
        <v>0.29166666666666669</v>
      </c>
      <c r="D67" s="55">
        <f>NORMSINV(C67)</f>
        <v>-0.548522282698098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>
      <c r="A68" s="26">
        <v>125</v>
      </c>
      <c r="B68" s="26">
        <v>5</v>
      </c>
      <c r="C68" s="55">
        <f>(B68-0.5)/12</f>
        <v>0.375</v>
      </c>
      <c r="D68" s="55">
        <f>NORMSINV(C68)</f>
        <v>-0.31863936396437514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>
      <c r="A69" s="26">
        <v>128</v>
      </c>
      <c r="B69" s="26">
        <v>6</v>
      </c>
      <c r="C69" s="55">
        <f>(B69-0.5)/12</f>
        <v>0.45833333333333331</v>
      </c>
      <c r="D69" s="55">
        <f>NORMSINV(C69)</f>
        <v>-0.10463345561407539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>
      <c r="A70" s="26">
        <v>132</v>
      </c>
      <c r="B70" s="26">
        <v>7</v>
      </c>
      <c r="C70" s="55">
        <f>(B70-0.5)/12</f>
        <v>0.54166666666666663</v>
      </c>
      <c r="D70" s="55">
        <f>NORMSINV(C70)</f>
        <v>0.10463345561407526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>
      <c r="A71" s="26">
        <v>136</v>
      </c>
      <c r="B71" s="26">
        <v>8</v>
      </c>
      <c r="C71" s="55">
        <f>(B71-0.5)/12</f>
        <v>0.625</v>
      </c>
      <c r="D71" s="55">
        <f>NORMSINV(C71)</f>
        <v>0.31863936396437514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>
      <c r="A72" s="26">
        <v>140</v>
      </c>
      <c r="B72" s="26">
        <v>9</v>
      </c>
      <c r="C72" s="55">
        <f>(B72-0.5)/12</f>
        <v>0.70833333333333337</v>
      </c>
      <c r="D72" s="55">
        <f>NORMSINV(C72)</f>
        <v>0.54852228269809822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>
      <c r="A73" s="26">
        <v>145</v>
      </c>
      <c r="B73" s="26">
        <v>10</v>
      </c>
      <c r="C73" s="55">
        <f>(B73-0.5)/12</f>
        <v>0.79166666666666663</v>
      </c>
      <c r="D73" s="55">
        <f>NORMSINV(C73)</f>
        <v>0.81221780149991285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>
      <c r="A74" s="26">
        <v>152</v>
      </c>
      <c r="B74" s="26">
        <v>11</v>
      </c>
      <c r="C74" s="55">
        <f>(B74-0.5)/12</f>
        <v>0.875</v>
      </c>
      <c r="D74" s="55">
        <f>NORMSINV(C74)</f>
        <v>1.1503493803760079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>
      <c r="A75" s="26">
        <v>168</v>
      </c>
      <c r="B75" s="26">
        <v>12</v>
      </c>
      <c r="C75" s="55">
        <f>(B75-0.5)/12</f>
        <v>0.95833333333333337</v>
      </c>
      <c r="D75" s="55">
        <f>NORMSINV(C75)</f>
        <v>1.7316643961222455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>
      <c r="A78" s="23" t="s">
        <v>117</v>
      </c>
      <c r="B78" s="23"/>
      <c r="C78" s="23"/>
      <c r="D78" s="23"/>
      <c r="E78" s="23"/>
      <c r="F78" s="23"/>
      <c r="G78" s="23"/>
      <c r="H78" s="23"/>
      <c r="I78" s="23"/>
      <c r="J78" s="22"/>
      <c r="K78" s="22"/>
      <c r="L78" s="22"/>
      <c r="M78" s="22"/>
      <c r="N78" s="22"/>
    </row>
    <row r="79">
      <c r="A79" s="54" t="s">
        <v>118</v>
      </c>
      <c r="B79" s="54" t="s">
        <v>119</v>
      </c>
      <c r="C79" s="54" t="s">
        <v>108</v>
      </c>
      <c r="D79" s="54" t="s">
        <v>109</v>
      </c>
      <c r="E79" s="54" t="s">
        <v>114</v>
      </c>
      <c r="F79" s="37"/>
      <c r="G79" s="22"/>
      <c r="H79" s="22"/>
      <c r="I79" s="22"/>
      <c r="J79" s="22"/>
      <c r="K79" s="22"/>
      <c r="L79" s="22"/>
      <c r="M79" s="22"/>
      <c r="N79" s="22"/>
    </row>
    <row r="80">
      <c r="A80" s="26">
        <v>12</v>
      </c>
      <c r="B80" s="26">
        <v>12</v>
      </c>
      <c r="C80" s="26">
        <v>1</v>
      </c>
      <c r="D80" s="55">
        <f>(C80-0.5)/12</f>
        <v>4.1666666666666664e-02</v>
      </c>
      <c r="E80" s="55">
        <f>NORMSINV(D80)</f>
        <v>-1.7316643961222451</v>
      </c>
      <c r="F80" s="22"/>
      <c r="G80" s="22"/>
      <c r="H80" s="22"/>
      <c r="I80" s="22"/>
      <c r="J80" s="22"/>
      <c r="K80" s="22"/>
      <c r="L80" s="22"/>
      <c r="M80" s="22"/>
      <c r="N80" s="22"/>
    </row>
    <row r="81">
      <c r="A81" s="26">
        <v>45</v>
      </c>
      <c r="B81" s="26">
        <v>22</v>
      </c>
      <c r="C81" s="26">
        <v>2</v>
      </c>
      <c r="D81" s="55">
        <f>(C81-0.5)/12</f>
        <v>0.125</v>
      </c>
      <c r="E81" s="55">
        <f>NORMSINV(D81)</f>
        <v>-1.1503493803760079</v>
      </c>
      <c r="F81" s="22"/>
      <c r="G81" s="22"/>
      <c r="H81" s="22"/>
      <c r="I81" s="22"/>
      <c r="J81" s="22"/>
      <c r="K81" s="22"/>
      <c r="L81" s="22"/>
      <c r="M81" s="22"/>
      <c r="N81" s="22"/>
    </row>
    <row r="82">
      <c r="A82" s="26">
        <v>38</v>
      </c>
      <c r="B82" s="26">
        <v>28</v>
      </c>
      <c r="C82" s="26">
        <v>3</v>
      </c>
      <c r="D82" s="55">
        <f>(C82-0.5)/12</f>
        <v>0.20833333333333334</v>
      </c>
      <c r="E82" s="55">
        <f>NORMSINV(D82)</f>
        <v>-0.81221780149991285</v>
      </c>
      <c r="F82" s="22"/>
      <c r="G82" s="22"/>
      <c r="H82" s="22"/>
      <c r="I82" s="22"/>
      <c r="J82" s="22"/>
      <c r="K82" s="22"/>
      <c r="L82" s="22"/>
      <c r="M82" s="22"/>
      <c r="N82" s="22"/>
    </row>
    <row r="83">
      <c r="A83" s="26">
        <v>67</v>
      </c>
      <c r="B83" s="26">
        <v>33</v>
      </c>
      <c r="C83" s="26">
        <v>4</v>
      </c>
      <c r="D83" s="55">
        <f>(C83-0.5)/12</f>
        <v>0.29166666666666669</v>
      </c>
      <c r="E83" s="55">
        <f>NORMSINV(D83)</f>
        <v>-0.548522282698098</v>
      </c>
      <c r="F83" s="22"/>
      <c r="G83" s="22"/>
      <c r="H83" s="22"/>
      <c r="I83" s="22"/>
      <c r="J83" s="22"/>
      <c r="K83" s="22"/>
      <c r="L83" s="22"/>
      <c r="M83" s="22"/>
      <c r="N83" s="22"/>
    </row>
    <row r="84">
      <c r="A84" s="26">
        <v>28</v>
      </c>
      <c r="B84" s="26">
        <v>38</v>
      </c>
      <c r="C84" s="26">
        <v>5</v>
      </c>
      <c r="D84" s="55">
        <f>(C84-0.5)/12</f>
        <v>0.375</v>
      </c>
      <c r="E84" s="55">
        <f>NORMSINV(D84)</f>
        <v>-0.31863936396437514</v>
      </c>
      <c r="F84" s="22"/>
      <c r="G84" s="22"/>
      <c r="H84" s="22"/>
      <c r="I84" s="22"/>
      <c r="J84" s="22"/>
      <c r="K84" s="22"/>
      <c r="L84" s="22"/>
      <c r="M84" s="22"/>
      <c r="N84" s="22"/>
    </row>
    <row r="85">
      <c r="A85" s="26">
        <v>54</v>
      </c>
      <c r="B85" s="26">
        <v>41</v>
      </c>
      <c r="C85" s="26">
        <v>6</v>
      </c>
      <c r="D85" s="55">
        <f>(C85-0.5)/12</f>
        <v>0.45833333333333331</v>
      </c>
      <c r="E85" s="55">
        <f>NORMSINV(D85)</f>
        <v>-0.10463345561407539</v>
      </c>
      <c r="F85" s="22"/>
      <c r="G85" s="22"/>
      <c r="H85" s="22"/>
      <c r="I85" s="22"/>
      <c r="J85" s="22"/>
      <c r="K85" s="22"/>
      <c r="L85" s="22"/>
      <c r="M85" s="22"/>
      <c r="N85" s="22"/>
    </row>
    <row r="86">
      <c r="A86" s="26">
        <v>41</v>
      </c>
      <c r="B86" s="26">
        <v>45</v>
      </c>
      <c r="C86" s="26">
        <v>7</v>
      </c>
      <c r="D86" s="55">
        <f>(C86-0.5)/12</f>
        <v>0.54166666666666663</v>
      </c>
      <c r="E86" s="55">
        <f>NORMSINV(D86)</f>
        <v>0.10463345561407526</v>
      </c>
      <c r="F86" s="22"/>
      <c r="G86" s="22"/>
      <c r="H86" s="22"/>
      <c r="I86" s="22"/>
      <c r="J86" s="22"/>
      <c r="K86" s="22"/>
      <c r="L86" s="22"/>
      <c r="M86" s="22"/>
      <c r="N86" s="22"/>
    </row>
    <row r="87">
      <c r="A87" s="26">
        <v>33</v>
      </c>
      <c r="B87" s="26">
        <v>48</v>
      </c>
      <c r="C87" s="26">
        <v>8</v>
      </c>
      <c r="D87" s="55">
        <f>(C87-0.5)/12</f>
        <v>0.625</v>
      </c>
      <c r="E87" s="55">
        <f>NORMSINV(D87)</f>
        <v>0.31863936396437514</v>
      </c>
      <c r="F87" s="22"/>
      <c r="G87" s="22"/>
      <c r="H87" s="22"/>
      <c r="I87" s="22"/>
      <c r="J87" s="22"/>
      <c r="K87" s="22"/>
      <c r="L87" s="22"/>
      <c r="M87" s="22"/>
      <c r="N87" s="22"/>
    </row>
    <row r="88">
      <c r="A88" s="26">
        <v>59</v>
      </c>
      <c r="B88" s="26">
        <v>54</v>
      </c>
      <c r="C88" s="26">
        <v>9</v>
      </c>
      <c r="D88" s="55">
        <f>(C88-0.5)/12</f>
        <v>0.70833333333333337</v>
      </c>
      <c r="E88" s="55">
        <f>NORMSINV(D88)</f>
        <v>0.54852228269809822</v>
      </c>
      <c r="F88" s="22"/>
      <c r="G88" s="22"/>
      <c r="H88" s="22"/>
      <c r="I88" s="22"/>
      <c r="J88" s="22"/>
      <c r="K88" s="22"/>
      <c r="L88" s="22"/>
      <c r="M88" s="22"/>
      <c r="N88" s="22"/>
    </row>
    <row r="89">
      <c r="A89" s="26">
        <v>22</v>
      </c>
      <c r="B89" s="26">
        <v>59</v>
      </c>
      <c r="C89" s="26">
        <v>10</v>
      </c>
      <c r="D89" s="55">
        <f>(C89-0.5)/12</f>
        <v>0.79166666666666663</v>
      </c>
      <c r="E89" s="55">
        <f>NORMSINV(D89)</f>
        <v>0.81221780149991285</v>
      </c>
      <c r="F89" s="22"/>
      <c r="G89" s="22"/>
      <c r="H89" s="22"/>
      <c r="I89" s="22"/>
      <c r="J89" s="22"/>
      <c r="K89" s="22"/>
      <c r="L89" s="22"/>
      <c r="M89" s="22"/>
      <c r="N89" s="22"/>
    </row>
    <row r="90">
      <c r="A90" s="26">
        <v>71</v>
      </c>
      <c r="B90" s="26">
        <v>67</v>
      </c>
      <c r="C90" s="26">
        <v>11</v>
      </c>
      <c r="D90" s="55">
        <f>(C90-0.5)/12</f>
        <v>0.875</v>
      </c>
      <c r="E90" s="55">
        <f>NORMSINV(D90)</f>
        <v>1.1503493803760079</v>
      </c>
      <c r="F90" s="22"/>
      <c r="G90" s="22"/>
      <c r="H90" s="22"/>
      <c r="I90" s="22"/>
      <c r="J90" s="22"/>
      <c r="K90" s="22"/>
      <c r="L90" s="22"/>
      <c r="M90" s="22"/>
      <c r="N90" s="22"/>
    </row>
    <row r="91">
      <c r="A91" s="26">
        <v>48</v>
      </c>
      <c r="B91" s="26">
        <v>71</v>
      </c>
      <c r="C91" s="26">
        <v>12</v>
      </c>
      <c r="D91" s="55">
        <f>(C91-0.5)/12</f>
        <v>0.95833333333333337</v>
      </c>
      <c r="E91" s="55">
        <f>NORMSINV(D91)</f>
        <v>1.7316643961222455</v>
      </c>
      <c r="F91" s="22"/>
      <c r="G91" s="22"/>
      <c r="H91" s="22"/>
      <c r="I91" s="22"/>
      <c r="J91" s="22"/>
      <c r="K91" s="22"/>
      <c r="L91" s="22"/>
      <c r="M91" s="22"/>
      <c r="N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>
      <c r="A94" s="23" t="s">
        <v>120</v>
      </c>
      <c r="B94" s="23"/>
      <c r="C94" s="23"/>
      <c r="D94" s="23"/>
      <c r="E94" s="23"/>
      <c r="F94" s="23"/>
      <c r="G94" s="23"/>
      <c r="H94" s="23"/>
      <c r="I94" s="22"/>
      <c r="J94" s="22"/>
      <c r="K94" s="22"/>
      <c r="L94" s="22"/>
      <c r="M94" s="22"/>
      <c r="N94" s="22"/>
    </row>
    <row r="95">
      <c r="A95" s="54" t="s">
        <v>107</v>
      </c>
      <c r="B95" s="54" t="s">
        <v>108</v>
      </c>
      <c r="C95" s="54" t="s">
        <v>109</v>
      </c>
      <c r="D95" s="54" t="s">
        <v>110</v>
      </c>
      <c r="E95" s="37"/>
      <c r="F95" s="22"/>
      <c r="G95" s="22"/>
      <c r="H95" s="22"/>
      <c r="I95" s="22"/>
      <c r="J95" s="22"/>
      <c r="K95" s="22"/>
      <c r="L95" s="22"/>
      <c r="M95" s="22"/>
      <c r="N95" s="22"/>
    </row>
    <row r="96">
      <c r="A96" s="26">
        <v>-1.8</v>
      </c>
      <c r="B96" s="26">
        <v>1</v>
      </c>
      <c r="C96" s="55">
        <f>(B96-0.5)/10</f>
        <v>5.0000000000000003e-02</v>
      </c>
      <c r="D96" s="55">
        <f>NORMSINV(C96)</f>
        <v>-1.6448536269514726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>
      <c r="A97" s="26">
        <v>-1.2</v>
      </c>
      <c r="B97" s="26">
        <v>2</v>
      </c>
      <c r="C97" s="55">
        <f>(B97-0.5)/10</f>
        <v>0.14999999999999999</v>
      </c>
      <c r="D97" s="55">
        <f>NORMSINV(C97)</f>
        <v>-1.0364333894937894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>
      <c r="A98" s="26">
        <v>-0.69999999999999996</v>
      </c>
      <c r="B98" s="26">
        <v>3</v>
      </c>
      <c r="C98" s="55">
        <f>(B98-0.5)/10</f>
        <v>0.25</v>
      </c>
      <c r="D98" s="55">
        <f>NORMSINV(C98)</f>
        <v>-0.67448975019608171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>
      <c r="A99" s="26">
        <v>-0.29999999999999999</v>
      </c>
      <c r="B99" s="26">
        <v>4</v>
      </c>
      <c r="C99" s="55">
        <f>(B99-0.5)/10</f>
        <v>0.34999999999999998</v>
      </c>
      <c r="D99" s="55">
        <f>NORMSINV(C99)</f>
        <v>-0.38532046640756762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>
      <c r="A100" s="26">
        <v>0.20000000000000001</v>
      </c>
      <c r="B100" s="26">
        <v>5</v>
      </c>
      <c r="C100" s="55">
        <f>(B100-0.5)/10</f>
        <v>0.45000000000000001</v>
      </c>
      <c r="D100" s="55">
        <f>NORMSINV(C100)</f>
        <v>-0.12566134685507399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>
      <c r="A101" s="26">
        <v>0.59999999999999998</v>
      </c>
      <c r="B101" s="26">
        <v>6</v>
      </c>
      <c r="C101" s="55">
        <f>(B101-0.5)/10</f>
        <v>0.55000000000000004</v>
      </c>
      <c r="D101" s="55">
        <f>NORMSINV(C101)</f>
        <v>0.12566134685507413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>
      <c r="A102" s="26">
        <v>1</v>
      </c>
      <c r="B102" s="26">
        <v>7</v>
      </c>
      <c r="C102" s="55">
        <f>(B102-0.5)/10</f>
        <v>0.65000000000000002</v>
      </c>
      <c r="D102" s="55">
        <f>NORMSINV(C102)</f>
        <v>0.38532046640756762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>
      <c r="A103" s="26">
        <v>1.3999999999999999</v>
      </c>
      <c r="B103" s="26">
        <v>8</v>
      </c>
      <c r="C103" s="55">
        <f>(B103-0.5)/10</f>
        <v>0.75</v>
      </c>
      <c r="D103" s="55">
        <f>NORMSINV(C103)</f>
        <v>0.67448975019608171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>
      <c r="A104" s="26">
        <v>1.8999999999999999</v>
      </c>
      <c r="B104" s="26">
        <v>9</v>
      </c>
      <c r="C104" s="55">
        <f>(B104-0.5)/10</f>
        <v>0.84999999999999998</v>
      </c>
      <c r="D104" s="55">
        <f>NORMSINV(C104)</f>
        <v>1.0364333894937894</v>
      </c>
      <c r="E104" s="22"/>
      <c r="F104" s="22"/>
      <c r="G104" s="22"/>
      <c r="H104" s="22"/>
      <c r="I104" s="22"/>
      <c r="J104" s="22"/>
      <c r="K104" s="22"/>
      <c r="L104" s="22"/>
      <c r="M104" s="22"/>
      <c r="N104" s="22"/>
    </row>
    <row r="105">
      <c r="A105" s="26">
        <v>2.2999999999999998</v>
      </c>
      <c r="B105" s="26">
        <v>10</v>
      </c>
      <c r="C105" s="55">
        <f>(B105-0.5)/10</f>
        <v>0.94999999999999996</v>
      </c>
      <c r="D105" s="55">
        <f>NORMSINV(C105)</f>
        <v>1.6448536269514715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</row>
    <row r="108">
      <c r="A108" s="23" t="s">
        <v>121</v>
      </c>
      <c r="B108" s="23"/>
      <c r="C108" s="23"/>
      <c r="D108" s="23"/>
      <c r="E108" s="23"/>
      <c r="F108" s="23"/>
      <c r="G108" s="23"/>
      <c r="H108" s="23"/>
      <c r="I108" s="22"/>
      <c r="J108" s="22"/>
      <c r="K108" s="22"/>
      <c r="L108" s="22"/>
      <c r="M108" s="22"/>
      <c r="N108" s="22"/>
    </row>
    <row r="109">
      <c r="A109" s="54" t="s">
        <v>122</v>
      </c>
      <c r="B109" s="54" t="s">
        <v>108</v>
      </c>
      <c r="C109" s="54" t="s">
        <v>109</v>
      </c>
      <c r="D109" s="54" t="s">
        <v>110</v>
      </c>
      <c r="E109" s="37"/>
      <c r="F109" s="22"/>
      <c r="G109" s="22"/>
      <c r="H109" s="22"/>
      <c r="I109" s="22"/>
      <c r="J109" s="22"/>
      <c r="K109" s="22"/>
      <c r="L109" s="22"/>
      <c r="M109" s="22"/>
      <c r="N109" s="22"/>
    </row>
    <row r="110">
      <c r="A110" s="26">
        <v>34</v>
      </c>
      <c r="B110" s="26">
        <v>1</v>
      </c>
      <c r="C110" s="55">
        <f>(B110-0.5)/10</f>
        <v>5.0000000000000003e-02</v>
      </c>
      <c r="D110" s="55">
        <f>NORMSINV(C110)</f>
        <v>-1.6448536269514726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22"/>
    </row>
    <row r="111">
      <c r="A111" s="26">
        <v>43</v>
      </c>
      <c r="B111" s="26">
        <v>2</v>
      </c>
      <c r="C111" s="55">
        <f>(B111-0.5)/10</f>
        <v>0.14999999999999999</v>
      </c>
      <c r="D111" s="55">
        <f>NORMSINV(C111)</f>
        <v>-1.0364333894937894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>
      <c r="A112" s="26">
        <v>52</v>
      </c>
      <c r="B112" s="26">
        <v>3</v>
      </c>
      <c r="C112" s="55">
        <f>(B112-0.5)/10</f>
        <v>0.25</v>
      </c>
      <c r="D112" s="55">
        <f>NORMSINV(C112)</f>
        <v>-0.67448975019608171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22"/>
    </row>
    <row r="113">
      <c r="A113" s="26">
        <v>61</v>
      </c>
      <c r="B113" s="26">
        <v>4</v>
      </c>
      <c r="C113" s="55">
        <f>(B113-0.5)/10</f>
        <v>0.34999999999999998</v>
      </c>
      <c r="D113" s="55">
        <f>NORMSINV(C113)</f>
        <v>-0.38532046640756762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22"/>
    </row>
    <row r="114">
      <c r="A114" s="26">
        <v>67</v>
      </c>
      <c r="B114" s="26">
        <v>5</v>
      </c>
      <c r="C114" s="55">
        <f>(B114-0.5)/10</f>
        <v>0.45000000000000001</v>
      </c>
      <c r="D114" s="55">
        <f>NORMSINV(C114)</f>
        <v>-0.12566134685507399</v>
      </c>
      <c r="E114" s="22"/>
      <c r="F114" s="22"/>
      <c r="G114" s="22"/>
      <c r="H114" s="22"/>
      <c r="I114" s="22"/>
      <c r="J114" s="22"/>
      <c r="K114" s="22"/>
      <c r="L114" s="22"/>
      <c r="M114" s="22"/>
      <c r="N114" s="22"/>
    </row>
    <row r="115">
      <c r="A115" s="26">
        <v>71</v>
      </c>
      <c r="B115" s="26">
        <v>6</v>
      </c>
      <c r="C115" s="55">
        <f>(B115-0.5)/10</f>
        <v>0.55000000000000004</v>
      </c>
      <c r="D115" s="55">
        <f>NORMSINV(C115)</f>
        <v>0.12566134685507413</v>
      </c>
      <c r="E115" s="22"/>
      <c r="F115" s="22"/>
      <c r="G115" s="22"/>
      <c r="H115" s="22"/>
      <c r="I115" s="22"/>
      <c r="J115" s="22"/>
      <c r="K115" s="22"/>
      <c r="L115" s="22"/>
      <c r="M115" s="22"/>
      <c r="N115" s="22"/>
    </row>
    <row r="116">
      <c r="A116" s="26">
        <v>78</v>
      </c>
      <c r="B116" s="26">
        <v>7</v>
      </c>
      <c r="C116" s="55">
        <f>(B116-0.5)/10</f>
        <v>0.65000000000000002</v>
      </c>
      <c r="D116" s="55">
        <f>NORMSINV(C116)</f>
        <v>0.38532046640756762</v>
      </c>
      <c r="E116" s="22"/>
      <c r="F116" s="22"/>
      <c r="G116" s="22"/>
      <c r="H116" s="22"/>
      <c r="I116" s="22"/>
      <c r="J116" s="22"/>
      <c r="K116" s="22"/>
      <c r="L116" s="22"/>
      <c r="M116" s="22"/>
      <c r="N116" s="22"/>
    </row>
    <row r="117">
      <c r="A117" s="26">
        <v>82</v>
      </c>
      <c r="B117" s="26">
        <v>8</v>
      </c>
      <c r="C117" s="55">
        <f>(B117-0.5)/10</f>
        <v>0.75</v>
      </c>
      <c r="D117" s="55">
        <f>NORMSINV(C117)</f>
        <v>0.67448975019608171</v>
      </c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>
      <c r="A118" s="26">
        <v>85</v>
      </c>
      <c r="B118" s="26">
        <v>9</v>
      </c>
      <c r="C118" s="55">
        <f>(B118-0.5)/10</f>
        <v>0.84999999999999998</v>
      </c>
      <c r="D118" s="55">
        <f>NORMSINV(C118)</f>
        <v>1.0364333894937894</v>
      </c>
      <c r="E118" s="22"/>
      <c r="F118" s="22"/>
      <c r="G118" s="22"/>
      <c r="H118" s="22"/>
      <c r="I118" s="22"/>
      <c r="J118" s="22"/>
      <c r="K118" s="22"/>
      <c r="L118" s="22"/>
      <c r="M118" s="22"/>
      <c r="N118" s="22"/>
    </row>
    <row r="119">
      <c r="A119" s="26">
        <v>91</v>
      </c>
      <c r="B119" s="26">
        <v>10</v>
      </c>
      <c r="C119" s="55">
        <f>(B119-0.5)/10</f>
        <v>0.94999999999999996</v>
      </c>
      <c r="D119" s="55">
        <f>NORMSINV(C119)</f>
        <v>1.6448536269514715</v>
      </c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</row>
    <row r="122">
      <c r="A122" s="23" t="s">
        <v>123</v>
      </c>
      <c r="B122" s="23"/>
      <c r="C122" s="23"/>
      <c r="D122" s="23"/>
      <c r="E122" s="23"/>
      <c r="F122" s="23"/>
      <c r="G122" s="23"/>
      <c r="H122" s="23"/>
      <c r="I122" s="23"/>
      <c r="J122" s="22"/>
      <c r="K122" s="22"/>
      <c r="L122" s="22"/>
      <c r="M122" s="22"/>
      <c r="N122" s="22"/>
    </row>
    <row r="123">
      <c r="A123" s="54" t="s">
        <v>124</v>
      </c>
      <c r="B123" s="54" t="s">
        <v>125</v>
      </c>
      <c r="C123" s="54" t="s">
        <v>108</v>
      </c>
      <c r="D123" s="54" t="s">
        <v>109</v>
      </c>
      <c r="E123" s="54" t="s">
        <v>114</v>
      </c>
      <c r="F123" s="37"/>
      <c r="G123" s="22"/>
      <c r="H123" s="22"/>
      <c r="I123" s="22"/>
      <c r="J123" s="22"/>
      <c r="K123" s="22"/>
      <c r="L123" s="22"/>
      <c r="M123" s="22"/>
      <c r="N123" s="22"/>
    </row>
    <row r="124">
      <c r="A124" s="26">
        <v>3.2000000000000002</v>
      </c>
      <c r="B124" s="26">
        <v>2.7999999999999998</v>
      </c>
      <c r="C124" s="26">
        <v>1</v>
      </c>
      <c r="D124" s="55">
        <f>(C124-0.5)/12</f>
        <v>4.1666666666666664e-02</v>
      </c>
      <c r="E124" s="55">
        <f>NORMSINV(D124)</f>
        <v>-1.7316643961222451</v>
      </c>
      <c r="F124" s="22"/>
      <c r="G124" s="22"/>
      <c r="H124" s="22"/>
      <c r="I124" s="22"/>
      <c r="J124" s="22"/>
      <c r="K124" s="22"/>
      <c r="L124" s="22"/>
      <c r="M124" s="22"/>
      <c r="N124" s="22"/>
    </row>
    <row r="125">
      <c r="A125" s="26">
        <v>5.7999999999999998</v>
      </c>
      <c r="B125" s="26">
        <v>3.2000000000000002</v>
      </c>
      <c r="C125" s="26">
        <v>2</v>
      </c>
      <c r="D125" s="55">
        <f>(C125-0.5)/12</f>
        <v>0.125</v>
      </c>
      <c r="E125" s="55">
        <f>NORMSINV(D125)</f>
        <v>-1.1503493803760079</v>
      </c>
      <c r="F125" s="22"/>
      <c r="G125" s="22"/>
      <c r="H125" s="22"/>
      <c r="I125" s="22"/>
      <c r="J125" s="22"/>
      <c r="K125" s="22"/>
      <c r="L125" s="22"/>
      <c r="M125" s="22"/>
      <c r="N125" s="22"/>
    </row>
    <row r="126">
      <c r="A126" s="26">
        <v>7.0999999999999996</v>
      </c>
      <c r="B126" s="26">
        <v>4.4000000000000004</v>
      </c>
      <c r="C126" s="26">
        <v>3</v>
      </c>
      <c r="D126" s="55">
        <f>(C126-0.5)/12</f>
        <v>0.20833333333333334</v>
      </c>
      <c r="E126" s="55">
        <f>NORMSINV(D126)</f>
        <v>-0.81221780149991285</v>
      </c>
      <c r="F126" s="22"/>
      <c r="G126" s="22"/>
      <c r="H126" s="22"/>
      <c r="I126" s="22"/>
      <c r="J126" s="22"/>
      <c r="K126" s="22"/>
      <c r="L126" s="22"/>
      <c r="M126" s="22"/>
      <c r="N126" s="22"/>
    </row>
    <row r="127">
      <c r="A127" s="26">
        <v>4.4000000000000004</v>
      </c>
      <c r="B127" s="26">
        <v>4.7000000000000002</v>
      </c>
      <c r="C127" s="26">
        <v>4</v>
      </c>
      <c r="D127" s="55">
        <f>(C127-0.5)/12</f>
        <v>0.29166666666666669</v>
      </c>
      <c r="E127" s="55">
        <f>NORMSINV(D127)</f>
        <v>-0.548522282698098</v>
      </c>
      <c r="F127" s="22"/>
      <c r="G127" s="22"/>
      <c r="H127" s="22"/>
      <c r="I127" s="22"/>
      <c r="J127" s="22"/>
      <c r="K127" s="22"/>
      <c r="L127" s="22"/>
      <c r="M127" s="22"/>
      <c r="N127" s="22"/>
    </row>
    <row r="128">
      <c r="A128" s="26">
        <v>9.1999999999999993</v>
      </c>
      <c r="B128" s="26">
        <v>5.0999999999999996</v>
      </c>
      <c r="C128" s="26">
        <v>5</v>
      </c>
      <c r="D128" s="55">
        <f>(C128-0.5)/12</f>
        <v>0.375</v>
      </c>
      <c r="E128" s="55">
        <f>NORMSINV(D128)</f>
        <v>-0.31863936396437514</v>
      </c>
      <c r="F128" s="22"/>
      <c r="G128" s="22"/>
      <c r="H128" s="22"/>
      <c r="I128" s="22"/>
      <c r="J128" s="22"/>
      <c r="K128" s="22"/>
      <c r="L128" s="22"/>
      <c r="M128" s="22"/>
      <c r="N128" s="22"/>
    </row>
    <row r="129">
      <c r="A129" s="26">
        <v>6.5</v>
      </c>
      <c r="B129" s="26">
        <v>5.7999999999999998</v>
      </c>
      <c r="C129" s="26">
        <v>6</v>
      </c>
      <c r="D129" s="55">
        <f>(C129-0.5)/12</f>
        <v>0.45833333333333331</v>
      </c>
      <c r="E129" s="55">
        <f>NORMSINV(D129)</f>
        <v>-0.10463345561407539</v>
      </c>
      <c r="F129" s="22"/>
      <c r="G129" s="22"/>
      <c r="H129" s="22"/>
      <c r="I129" s="22"/>
      <c r="J129" s="22"/>
      <c r="K129" s="22"/>
      <c r="L129" s="22"/>
      <c r="M129" s="22"/>
      <c r="N129" s="22"/>
    </row>
    <row r="130">
      <c r="A130" s="26">
        <v>2.7999999999999998</v>
      </c>
      <c r="B130" s="26">
        <v>6.5</v>
      </c>
      <c r="C130" s="26">
        <v>7</v>
      </c>
      <c r="D130" s="55">
        <f>(C130-0.5)/12</f>
        <v>0.54166666666666663</v>
      </c>
      <c r="E130" s="55">
        <f>NORMSINV(D130)</f>
        <v>0.10463345561407526</v>
      </c>
      <c r="F130" s="22"/>
      <c r="G130" s="22"/>
      <c r="H130" s="22"/>
      <c r="I130" s="22"/>
      <c r="J130" s="22"/>
      <c r="K130" s="22"/>
      <c r="L130" s="22"/>
      <c r="M130" s="22"/>
      <c r="N130" s="22"/>
    </row>
    <row r="131">
      <c r="A131" s="26">
        <v>11.300000000000001</v>
      </c>
      <c r="B131" s="26">
        <v>7.0999999999999996</v>
      </c>
      <c r="C131" s="26">
        <v>8</v>
      </c>
      <c r="D131" s="55">
        <f>(C131-0.5)/12</f>
        <v>0.625</v>
      </c>
      <c r="E131" s="55">
        <f>NORMSINV(D131)</f>
        <v>0.31863936396437514</v>
      </c>
      <c r="F131" s="22"/>
      <c r="G131" s="22"/>
      <c r="H131" s="22"/>
      <c r="I131" s="22"/>
      <c r="J131" s="22"/>
      <c r="K131" s="22"/>
      <c r="L131" s="22"/>
      <c r="M131" s="22"/>
      <c r="N131" s="22"/>
    </row>
    <row r="132">
      <c r="A132" s="26">
        <v>8.5999999999999996</v>
      </c>
      <c r="B132" s="26">
        <v>7.9000000000000004</v>
      </c>
      <c r="C132" s="26">
        <v>9</v>
      </c>
      <c r="D132" s="55">
        <f>(C132-0.5)/12</f>
        <v>0.70833333333333337</v>
      </c>
      <c r="E132" s="55">
        <f>NORMSINV(D132)</f>
        <v>0.54852228269809822</v>
      </c>
      <c r="F132" s="22"/>
      <c r="G132" s="22"/>
      <c r="H132" s="22"/>
      <c r="I132" s="22"/>
      <c r="J132" s="22"/>
      <c r="K132" s="22"/>
      <c r="L132" s="22"/>
      <c r="M132" s="22"/>
      <c r="N132" s="22"/>
    </row>
    <row r="133">
      <c r="A133" s="26">
        <v>5.0999999999999996</v>
      </c>
      <c r="B133" s="26">
        <v>8.5999999999999996</v>
      </c>
      <c r="C133" s="26">
        <v>10</v>
      </c>
      <c r="D133" s="55">
        <f>(C133-0.5)/12</f>
        <v>0.79166666666666663</v>
      </c>
      <c r="E133" s="55">
        <f>NORMSINV(D133)</f>
        <v>0.81221780149991285</v>
      </c>
      <c r="F133" s="22"/>
      <c r="G133" s="22"/>
      <c r="H133" s="22"/>
      <c r="I133" s="22"/>
      <c r="J133" s="22"/>
      <c r="K133" s="22"/>
      <c r="L133" s="22"/>
      <c r="M133" s="22"/>
      <c r="N133" s="22"/>
    </row>
    <row r="134">
      <c r="A134" s="26">
        <v>7.9000000000000004</v>
      </c>
      <c r="B134" s="26">
        <v>9.1999999999999993</v>
      </c>
      <c r="C134" s="26">
        <v>11</v>
      </c>
      <c r="D134" s="55">
        <f>(C134-0.5)/12</f>
        <v>0.875</v>
      </c>
      <c r="E134" s="55">
        <f>NORMSINV(D134)</f>
        <v>1.1503493803760079</v>
      </c>
      <c r="F134" s="22"/>
      <c r="G134" s="22"/>
      <c r="H134" s="22"/>
      <c r="I134" s="22"/>
      <c r="J134" s="22"/>
      <c r="K134" s="22"/>
      <c r="L134" s="22"/>
      <c r="M134" s="22"/>
      <c r="N134" s="22"/>
    </row>
    <row r="135">
      <c r="A135" s="26">
        <v>4.7000000000000002</v>
      </c>
      <c r="B135" s="26">
        <v>11.300000000000001</v>
      </c>
      <c r="C135" s="26">
        <v>12</v>
      </c>
      <c r="D135" s="55">
        <f>(C135-0.5)/12</f>
        <v>0.95833333333333337</v>
      </c>
      <c r="E135" s="55">
        <f>NORMSINV(D135)</f>
        <v>1.7316643961222455</v>
      </c>
      <c r="F135" s="22"/>
      <c r="G135" s="22"/>
      <c r="H135" s="22"/>
      <c r="I135" s="22"/>
      <c r="J135" s="22"/>
      <c r="K135" s="22"/>
      <c r="L135" s="22"/>
      <c r="M135" s="22"/>
      <c r="N135" s="22"/>
    </row>
  </sheetData>
  <mergeCells count="11">
    <mergeCell ref="A1:N1"/>
    <mergeCell ref="A3:N3"/>
    <mergeCell ref="A4:G4"/>
    <mergeCell ref="A12:G12"/>
    <mergeCell ref="A32:H32"/>
    <mergeCell ref="A46:I46"/>
    <mergeCell ref="A62:H62"/>
    <mergeCell ref="A78:I78"/>
    <mergeCell ref="A94:H94"/>
    <mergeCell ref="A108:H108"/>
    <mergeCell ref="A122:I12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4" t="s">
        <v>126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>
      <c r="A3" s="23" t="s">
        <v>127</v>
      </c>
      <c r="B3" s="23"/>
      <c r="C3" s="23"/>
      <c r="D3" s="23"/>
      <c r="E3" s="23"/>
      <c r="F3" s="23"/>
      <c r="G3" s="23"/>
      <c r="H3" s="23"/>
      <c r="I3" s="23"/>
      <c r="J3" s="23"/>
      <c r="K3" s="22"/>
      <c r="L3" s="22"/>
      <c r="M3" s="22"/>
    </row>
    <row r="4">
      <c r="A4" s="54" t="s">
        <v>128</v>
      </c>
      <c r="B4" s="54" t="s">
        <v>129</v>
      </c>
      <c r="C4" s="45"/>
      <c r="D4" s="22"/>
      <c r="E4" s="41"/>
      <c r="F4" s="22"/>
      <c r="G4" s="41"/>
      <c r="H4" s="22"/>
      <c r="I4" s="41"/>
      <c r="J4" s="22"/>
      <c r="K4" s="41"/>
      <c r="L4" s="22"/>
      <c r="M4" s="22"/>
    </row>
    <row r="5">
      <c r="A5" s="54">
        <v>0</v>
      </c>
      <c r="B5" s="43"/>
      <c r="C5" s="54">
        <v>1</v>
      </c>
      <c r="D5" s="25"/>
      <c r="E5" s="54">
        <v>2</v>
      </c>
      <c r="F5" s="25"/>
      <c r="G5" s="54">
        <v>3</v>
      </c>
      <c r="H5" s="25"/>
      <c r="I5" s="54">
        <v>4</v>
      </c>
      <c r="J5" s="25"/>
      <c r="K5" s="54">
        <v>5</v>
      </c>
      <c r="L5" s="22"/>
      <c r="M5" s="22"/>
    </row>
    <row r="6">
      <c r="A6" s="26">
        <v>15</v>
      </c>
      <c r="B6" s="29"/>
      <c r="C6" s="26">
        <v>78</v>
      </c>
      <c r="D6" s="25"/>
      <c r="E6" s="26">
        <v>158</v>
      </c>
      <c r="F6" s="25"/>
      <c r="G6" s="26">
        <v>159</v>
      </c>
      <c r="H6" s="25"/>
      <c r="I6" s="26">
        <v>75</v>
      </c>
      <c r="J6" s="25"/>
      <c r="K6" s="26">
        <v>15</v>
      </c>
      <c r="L6" s="22"/>
      <c r="M6" s="22"/>
    </row>
    <row r="7">
      <c r="A7" s="50"/>
      <c r="B7" s="4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>
      <c r="A8" s="30" t="s">
        <v>130</v>
      </c>
      <c r="B8" s="30">
        <v>500</v>
      </c>
      <c r="C8" s="45"/>
      <c r="D8" s="41"/>
      <c r="E8" s="41"/>
      <c r="F8" s="41"/>
      <c r="G8" s="41"/>
      <c r="H8" s="41"/>
      <c r="I8" s="22"/>
      <c r="J8" s="22"/>
      <c r="K8" s="22"/>
      <c r="L8" s="22"/>
      <c r="M8" s="22"/>
    </row>
    <row r="9">
      <c r="A9" s="51" t="s">
        <v>131</v>
      </c>
      <c r="B9" s="52"/>
      <c r="C9" s="52"/>
      <c r="D9" s="52"/>
      <c r="E9" s="52"/>
      <c r="F9" s="52"/>
      <c r="G9" s="52"/>
      <c r="H9" s="53"/>
      <c r="I9" s="22"/>
      <c r="J9" s="22"/>
      <c r="K9" s="22"/>
      <c r="L9" s="22"/>
      <c r="M9" s="22"/>
    </row>
    <row r="10">
      <c r="A10" s="54" t="s">
        <v>132</v>
      </c>
      <c r="B10" s="54" t="s">
        <v>133</v>
      </c>
      <c r="C10" s="54" t="s">
        <v>134</v>
      </c>
      <c r="D10" s="54" t="s">
        <v>135</v>
      </c>
      <c r="E10" s="54" t="s">
        <v>136</v>
      </c>
      <c r="F10" s="54" t="s">
        <v>137</v>
      </c>
      <c r="G10" s="54" t="s">
        <v>138</v>
      </c>
      <c r="H10" s="22"/>
      <c r="I10" s="22"/>
      <c r="J10" s="22"/>
      <c r="K10" s="22"/>
      <c r="L10" s="22"/>
      <c r="M10" s="22"/>
    </row>
    <row r="11">
      <c r="A11" s="26">
        <v>0</v>
      </c>
      <c r="B11" s="26">
        <v>15</v>
      </c>
      <c r="C11" s="27">
        <f>A11*B11</f>
        <v>0</v>
      </c>
      <c r="D11" s="27">
        <f>A11*A11*B11</f>
        <v>0</v>
      </c>
      <c r="E11" s="57">
        <f>B11/B8</f>
        <v>2.9999999999999999e-02</v>
      </c>
      <c r="F11" s="57">
        <f>BINOMDIST(A11,5,0.5,FALSE())</f>
        <v>3.125e-02</v>
      </c>
      <c r="G11" s="28">
        <f>B8*F11</f>
        <v>15.625</v>
      </c>
      <c r="H11" s="22"/>
      <c r="I11" s="22"/>
      <c r="J11" s="22"/>
      <c r="K11" s="22"/>
      <c r="L11" s="22"/>
      <c r="M11" s="22"/>
    </row>
    <row r="12">
      <c r="A12" s="26">
        <v>1</v>
      </c>
      <c r="B12" s="26">
        <v>78</v>
      </c>
      <c r="C12" s="27">
        <f>A12*B12</f>
        <v>78</v>
      </c>
      <c r="D12" s="27">
        <f>A12*A12*B12</f>
        <v>78</v>
      </c>
      <c r="E12" s="57">
        <f>B12/B8</f>
        <v>0.156</v>
      </c>
      <c r="F12" s="57">
        <f>BINOMDIST(A12,5,0.5,FALSE())</f>
        <v>0.15625</v>
      </c>
      <c r="G12" s="28">
        <f>B8*F12</f>
        <v>78.125</v>
      </c>
      <c r="H12" s="22"/>
      <c r="I12" s="22"/>
      <c r="J12" s="22"/>
      <c r="K12" s="22"/>
      <c r="L12" s="22"/>
      <c r="M12" s="22"/>
    </row>
    <row r="13">
      <c r="A13" s="26">
        <v>2</v>
      </c>
      <c r="B13" s="26">
        <v>158</v>
      </c>
      <c r="C13" s="27">
        <f>A13*B13</f>
        <v>316</v>
      </c>
      <c r="D13" s="27">
        <f>A13*A13*B13</f>
        <v>632</v>
      </c>
      <c r="E13" s="57">
        <f>B13/B8</f>
        <v>0.316</v>
      </c>
      <c r="F13" s="57">
        <f>BINOMDIST(A13,5,0.5,FALSE())</f>
        <v>0.3125</v>
      </c>
      <c r="G13" s="28">
        <f>B8*F13</f>
        <v>156.25</v>
      </c>
      <c r="H13" s="22"/>
      <c r="I13" s="22"/>
      <c r="J13" s="22"/>
      <c r="K13" s="22"/>
      <c r="L13" s="22"/>
      <c r="M13" s="22"/>
    </row>
    <row r="14">
      <c r="A14" s="26">
        <v>3</v>
      </c>
      <c r="B14" s="26">
        <v>159</v>
      </c>
      <c r="C14" s="27">
        <f>A14*B14</f>
        <v>477</v>
      </c>
      <c r="D14" s="27">
        <f>A14*A14*B14</f>
        <v>1431</v>
      </c>
      <c r="E14" s="57">
        <f>B14/B8</f>
        <v>0.318</v>
      </c>
      <c r="F14" s="57">
        <f>BINOMDIST(A14,5,0.5,FALSE())</f>
        <v>0.3125</v>
      </c>
      <c r="G14" s="28">
        <f>B8*F14</f>
        <v>156.25</v>
      </c>
      <c r="H14" s="22"/>
      <c r="I14" s="22"/>
      <c r="J14" s="22"/>
      <c r="K14" s="22"/>
      <c r="L14" s="22"/>
      <c r="M14" s="22"/>
    </row>
    <row r="15">
      <c r="A15" s="26">
        <v>4</v>
      </c>
      <c r="B15" s="26">
        <v>75</v>
      </c>
      <c r="C15" s="27">
        <f>A15*B15</f>
        <v>300</v>
      </c>
      <c r="D15" s="27">
        <f>A15*A15*B15</f>
        <v>1200</v>
      </c>
      <c r="E15" s="57">
        <f>B15/B8</f>
        <v>0.14999999999999999</v>
      </c>
      <c r="F15" s="57">
        <f>BINOMDIST(A15,5,0.5,FALSE())</f>
        <v>0.15625</v>
      </c>
      <c r="G15" s="28">
        <f>B8*F15</f>
        <v>78.125</v>
      </c>
      <c r="H15" s="22"/>
      <c r="I15" s="22"/>
      <c r="J15" s="22"/>
      <c r="K15" s="22"/>
      <c r="L15" s="22"/>
      <c r="M15" s="22"/>
    </row>
    <row r="16">
      <c r="A16" s="26">
        <v>5</v>
      </c>
      <c r="B16" s="26">
        <v>15</v>
      </c>
      <c r="C16" s="27">
        <f>A16*B16</f>
        <v>75</v>
      </c>
      <c r="D16" s="27">
        <f>A16*A16*B16</f>
        <v>375</v>
      </c>
      <c r="E16" s="57">
        <f>B16/B8</f>
        <v>2.9999999999999999e-02</v>
      </c>
      <c r="F16" s="57">
        <f>BINOMDIST(A16,5,0.5,FALSE())</f>
        <v>3.125e-02</v>
      </c>
      <c r="G16" s="28">
        <f>B8*F16</f>
        <v>15.625</v>
      </c>
      <c r="H16" s="22"/>
      <c r="I16" s="22"/>
      <c r="J16" s="22"/>
      <c r="K16" s="22"/>
      <c r="L16" s="22"/>
      <c r="M16" s="22"/>
    </row>
    <row r="17">
      <c r="A17" s="30" t="s">
        <v>139</v>
      </c>
      <c r="B17" s="31">
        <f>SUM(B11:B16)</f>
        <v>500</v>
      </c>
      <c r="C17" s="31">
        <f>SUM(C11:C16)</f>
        <v>1246</v>
      </c>
      <c r="D17" s="31">
        <f>SUM(D11:D16)</f>
        <v>3716</v>
      </c>
      <c r="E17" s="31">
        <f>SUM(E11:E16)</f>
        <v>1</v>
      </c>
      <c r="F17" s="31">
        <f>SUM(F11:F16)</f>
        <v>1</v>
      </c>
      <c r="G17" s="31">
        <f>SUM(G11:G16)</f>
        <v>500</v>
      </c>
      <c r="H17" s="22"/>
      <c r="I17" s="22"/>
      <c r="J17" s="22"/>
      <c r="K17" s="22"/>
      <c r="L17" s="22"/>
      <c r="M17" s="22"/>
    </row>
    <row r="18">
      <c r="A18" s="50"/>
      <c r="B18" s="50"/>
      <c r="C18" s="50"/>
      <c r="D18" s="50"/>
      <c r="E18" s="22"/>
      <c r="F18" s="22"/>
      <c r="G18" s="22"/>
      <c r="H18" s="22"/>
      <c r="I18" s="22"/>
      <c r="J18" s="22"/>
      <c r="K18" s="22"/>
      <c r="L18" s="22"/>
      <c r="M18" s="22"/>
    </row>
    <row r="19">
      <c r="A19" s="51" t="s">
        <v>140</v>
      </c>
      <c r="B19" s="52"/>
      <c r="C19" s="52"/>
      <c r="D19" s="53"/>
      <c r="E19" s="22"/>
      <c r="F19" s="22"/>
      <c r="G19" s="22"/>
      <c r="H19" s="22"/>
      <c r="I19" s="22"/>
      <c r="J19" s="22"/>
      <c r="K19" s="22"/>
      <c r="L19" s="22"/>
      <c r="M19" s="22"/>
    </row>
    <row r="20">
      <c r="A20" s="54" t="s">
        <v>61</v>
      </c>
      <c r="B20" s="54" t="s">
        <v>141</v>
      </c>
      <c r="C20" s="54" t="s">
        <v>62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>
      <c r="A21" s="26" t="s">
        <v>142</v>
      </c>
      <c r="B21" s="58" t="s">
        <v>143</v>
      </c>
      <c r="C21" s="55">
        <f>C17/B17</f>
        <v>2.492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>
      <c r="A22" s="26" t="s">
        <v>144</v>
      </c>
      <c r="B22" s="58" t="s">
        <v>145</v>
      </c>
      <c r="C22" s="55">
        <f>D17/B17</f>
        <v>7.4320000000000004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>
      <c r="A23" s="26" t="s">
        <v>146</v>
      </c>
      <c r="B23" s="58" t="s">
        <v>147</v>
      </c>
      <c r="C23" s="55">
        <f>(D17/B17)-(C17/B17)^2</f>
        <v>1.2219360000000004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>
      <c r="A24" s="26" t="s">
        <v>148</v>
      </c>
      <c r="B24" s="58" t="s">
        <v>149</v>
      </c>
      <c r="C24" s="55">
        <f>SQRT((D17/B17)-(C17/B17)^2)</f>
        <v>1.1054121403349975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>
      <c r="A27" s="23" t="s">
        <v>150</v>
      </c>
      <c r="B27" s="23"/>
      <c r="C27" s="23"/>
      <c r="D27" s="23"/>
      <c r="E27" s="23"/>
      <c r="F27" s="23"/>
      <c r="G27" s="23"/>
      <c r="H27" s="23"/>
      <c r="I27" s="23"/>
      <c r="J27" s="23"/>
      <c r="K27" s="22"/>
      <c r="L27" s="22"/>
      <c r="M27" s="22"/>
    </row>
    <row r="28">
      <c r="A28" s="54" t="s">
        <v>132</v>
      </c>
      <c r="B28" s="54" t="s">
        <v>133</v>
      </c>
      <c r="C28" s="54" t="s">
        <v>136</v>
      </c>
      <c r="D28" s="54" t="s">
        <v>137</v>
      </c>
      <c r="E28" s="37"/>
      <c r="F28" s="22"/>
      <c r="G28" s="22"/>
      <c r="H28" s="22"/>
      <c r="I28" s="22"/>
      <c r="J28" s="22"/>
      <c r="K28" s="22"/>
      <c r="L28" s="22"/>
      <c r="M28" s="22"/>
    </row>
    <row r="29">
      <c r="A29" s="26">
        <v>0</v>
      </c>
      <c r="B29" s="26">
        <v>12</v>
      </c>
      <c r="C29" s="57">
        <f>B29/SUM(B29:B34)</f>
        <v>2.5000000000000001e-02</v>
      </c>
      <c r="D29" s="57">
        <f>BINOMDIST(A29,5,0.5,FALSE())</f>
        <v>3.125e-02</v>
      </c>
      <c r="E29" s="22"/>
      <c r="F29" s="22"/>
      <c r="G29" s="22"/>
      <c r="H29" s="22"/>
      <c r="I29" s="22"/>
      <c r="J29" s="22"/>
      <c r="K29" s="22"/>
      <c r="L29" s="22"/>
      <c r="M29" s="22"/>
    </row>
    <row r="30">
      <c r="A30" s="26">
        <v>1</v>
      </c>
      <c r="B30" s="26">
        <v>68</v>
      </c>
      <c r="C30" s="57">
        <f>B30/SUM(B29:B34)</f>
        <v>0.14166666666666666</v>
      </c>
      <c r="D30" s="57">
        <f>BINOMDIST(A30,5,0.5,FALSE())</f>
        <v>0.15625</v>
      </c>
      <c r="E30" s="22"/>
      <c r="F30" s="22"/>
      <c r="G30" s="22"/>
      <c r="H30" s="22"/>
      <c r="I30" s="22"/>
      <c r="J30" s="22"/>
      <c r="K30" s="22"/>
      <c r="L30" s="22"/>
      <c r="M30" s="22"/>
    </row>
    <row r="31">
      <c r="A31" s="26">
        <v>2</v>
      </c>
      <c r="B31" s="26">
        <v>148</v>
      </c>
      <c r="C31" s="57">
        <f>B31/SUM(B29:B34)</f>
        <v>0.30833333333333335</v>
      </c>
      <c r="D31" s="57">
        <f>BINOMDIST(A31,5,0.5,FALSE())</f>
        <v>0.3125</v>
      </c>
      <c r="E31" s="22"/>
      <c r="F31" s="22"/>
      <c r="G31" s="22"/>
      <c r="H31" s="22"/>
      <c r="I31" s="22"/>
      <c r="J31" s="22"/>
      <c r="K31" s="22"/>
      <c r="L31" s="22"/>
      <c r="M31" s="22"/>
    </row>
    <row r="32">
      <c r="A32" s="26">
        <v>3</v>
      </c>
      <c r="B32" s="26">
        <v>162</v>
      </c>
      <c r="C32" s="57">
        <f>B32/SUM(B29:B34)</f>
        <v>0.33750000000000002</v>
      </c>
      <c r="D32" s="57">
        <f>BINOMDIST(A32,5,0.5,FALSE())</f>
        <v>0.3125</v>
      </c>
      <c r="E32" s="22"/>
      <c r="F32" s="22"/>
      <c r="G32" s="22"/>
      <c r="H32" s="22"/>
      <c r="I32" s="22"/>
      <c r="J32" s="22"/>
      <c r="K32" s="22"/>
      <c r="L32" s="22"/>
      <c r="M32" s="22"/>
    </row>
    <row r="33">
      <c r="A33" s="26">
        <v>4</v>
      </c>
      <c r="B33" s="26">
        <v>74</v>
      </c>
      <c r="C33" s="57">
        <f>B33/SUM(B29:B34)</f>
        <v>0.15416666666666667</v>
      </c>
      <c r="D33" s="57">
        <f>BINOMDIST(A33,5,0.5,FALSE())</f>
        <v>0.15625</v>
      </c>
      <c r="E33" s="22"/>
      <c r="F33" s="22"/>
      <c r="G33" s="22"/>
      <c r="H33" s="22"/>
      <c r="I33" s="22"/>
      <c r="J33" s="22"/>
      <c r="K33" s="22"/>
      <c r="L33" s="22"/>
      <c r="M33" s="22"/>
    </row>
    <row r="34">
      <c r="A34" s="26">
        <v>5</v>
      </c>
      <c r="B34" s="26">
        <v>16</v>
      </c>
      <c r="C34" s="57">
        <f>B34/SUM(B29:B34)</f>
        <v>3.3333333333333333e-02</v>
      </c>
      <c r="D34" s="57">
        <f>BINOMDIST(A34,5,0.5,FALSE())</f>
        <v>3.125e-02</v>
      </c>
      <c r="E34" s="22"/>
      <c r="F34" s="22"/>
      <c r="G34" s="22"/>
      <c r="H34" s="22"/>
      <c r="I34" s="22"/>
      <c r="J34" s="22"/>
      <c r="K34" s="22"/>
      <c r="L34" s="22"/>
      <c r="M34" s="22"/>
    </row>
    <row r="35">
      <c r="A35" s="30" t="s">
        <v>151</v>
      </c>
      <c r="B35" s="31">
        <f>SUM(B29:B34)</f>
        <v>480</v>
      </c>
      <c r="C35" s="31">
        <f>SUM(C29:C34)</f>
        <v>1</v>
      </c>
      <c r="D35" s="31">
        <f>SUM(D29:D34)</f>
        <v>1</v>
      </c>
      <c r="E35" s="22"/>
      <c r="F35" s="22"/>
      <c r="G35" s="22"/>
      <c r="H35" s="22"/>
      <c r="I35" s="22"/>
      <c r="J35" s="22"/>
      <c r="K35" s="22"/>
      <c r="L35" s="22"/>
      <c r="M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3" t="s">
        <v>152</v>
      </c>
      <c r="B38" s="23"/>
      <c r="C38" s="23"/>
      <c r="D38" s="23"/>
      <c r="E38" s="23"/>
      <c r="F38" s="23"/>
      <c r="G38" s="23"/>
      <c r="H38" s="23"/>
      <c r="I38" s="23"/>
      <c r="J38" s="23"/>
      <c r="K38" s="22"/>
      <c r="L38" s="22"/>
      <c r="M38" s="22"/>
    </row>
    <row r="39">
      <c r="A39" s="54" t="s">
        <v>132</v>
      </c>
      <c r="B39" s="54" t="s">
        <v>133</v>
      </c>
      <c r="C39" s="54" t="s">
        <v>136</v>
      </c>
      <c r="D39" s="54" t="s">
        <v>153</v>
      </c>
      <c r="E39" s="37"/>
      <c r="F39" s="22"/>
      <c r="G39" s="22"/>
      <c r="H39" s="22"/>
      <c r="I39" s="22"/>
      <c r="J39" s="22"/>
      <c r="K39" s="22"/>
      <c r="L39" s="22"/>
      <c r="M39" s="22"/>
    </row>
    <row r="40">
      <c r="A40" s="26">
        <v>0</v>
      </c>
      <c r="B40" s="26">
        <v>8</v>
      </c>
      <c r="C40" s="57">
        <f>B40/SUM(B40:B46)</f>
        <v>1.4285714285714285e-02</v>
      </c>
      <c r="D40" s="57">
        <f>BINOMDIST(A40,6,0.5,FALSE())</f>
        <v>1.5625e-02</v>
      </c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26">
        <v>1</v>
      </c>
      <c r="B41" s="26">
        <v>35</v>
      </c>
      <c r="C41" s="57">
        <f>B41/SUM(B40:B46)</f>
        <v>6.25e-02</v>
      </c>
      <c r="D41" s="57">
        <f>BINOMDIST(A41,6,0.5,FALSE())</f>
        <v>9.375e-02</v>
      </c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26">
        <v>2</v>
      </c>
      <c r="B42" s="26">
        <v>93</v>
      </c>
      <c r="C42" s="57">
        <f>B42/SUM(B40:B46)</f>
        <v>0.16607142857142856</v>
      </c>
      <c r="D42" s="57">
        <f>BINOMDIST(A42,6,0.5,FALSE())</f>
        <v>0.234375</v>
      </c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26">
        <v>3</v>
      </c>
      <c r="B43" s="26">
        <v>188</v>
      </c>
      <c r="C43" s="57">
        <f>B43/SUM(B40:B46)</f>
        <v>0.33571428571428569</v>
      </c>
      <c r="D43" s="57">
        <f>BINOMDIST(A43,6,0.5,FALSE())</f>
        <v>0.3125</v>
      </c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6">
        <v>4</v>
      </c>
      <c r="B44" s="26">
        <v>148</v>
      </c>
      <c r="C44" s="57">
        <f>B44/SUM(B40:B46)</f>
        <v>0.26428571428571429</v>
      </c>
      <c r="D44" s="57">
        <f>BINOMDIST(A44,6,0.5,FALSE())</f>
        <v>0.234375</v>
      </c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6">
        <v>5</v>
      </c>
      <c r="B45" s="26">
        <v>71</v>
      </c>
      <c r="C45" s="57">
        <f>B45/SUM(B40:B46)</f>
        <v>0.12678571428571428</v>
      </c>
      <c r="D45" s="57">
        <f>BINOMDIST(A45,6,0.5,FALSE())</f>
        <v>9.375e-02</v>
      </c>
      <c r="E45" s="22"/>
      <c r="F45" s="22"/>
      <c r="G45" s="22"/>
      <c r="H45" s="22"/>
      <c r="I45" s="22"/>
      <c r="J45" s="22"/>
      <c r="K45" s="22"/>
      <c r="L45" s="22"/>
      <c r="M45" s="22"/>
    </row>
    <row r="46">
      <c r="A46" s="26">
        <v>6</v>
      </c>
      <c r="B46" s="26">
        <v>17</v>
      </c>
      <c r="C46" s="57">
        <f>B46/SUM(B40:B46)</f>
        <v>3.0357142857142857e-02</v>
      </c>
      <c r="D46" s="57">
        <f>BINOMDIST(A46,6,0.5,FALSE())</f>
        <v>1.5625e-02</v>
      </c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30" t="s">
        <v>151</v>
      </c>
      <c r="B47" s="31">
        <f>SUM(B40:B46)</f>
        <v>560</v>
      </c>
      <c r="C47" s="31">
        <f>SUM(C40:C46)</f>
        <v>0.99999999999999989</v>
      </c>
      <c r="D47" s="31">
        <f>SUM(D40:D46)</f>
        <v>1</v>
      </c>
      <c r="E47" s="22"/>
      <c r="F47" s="22"/>
      <c r="G47" s="22"/>
      <c r="H47" s="22"/>
      <c r="I47" s="22"/>
      <c r="J47" s="22"/>
      <c r="K47" s="22"/>
      <c r="L47" s="22"/>
      <c r="M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>
      <c r="A50" s="23" t="s">
        <v>154</v>
      </c>
      <c r="B50" s="23"/>
      <c r="C50" s="23"/>
      <c r="D50" s="23"/>
      <c r="E50" s="23"/>
      <c r="F50" s="23"/>
      <c r="G50" s="23"/>
      <c r="H50" s="23"/>
      <c r="I50" s="23"/>
      <c r="J50" s="23"/>
      <c r="K50" s="22"/>
      <c r="L50" s="22"/>
      <c r="M50" s="22"/>
    </row>
    <row r="51">
      <c r="A51" s="54" t="s">
        <v>132</v>
      </c>
      <c r="B51" s="54" t="s">
        <v>133</v>
      </c>
      <c r="C51" s="54" t="s">
        <v>136</v>
      </c>
      <c r="D51" s="54" t="s">
        <v>155</v>
      </c>
      <c r="E51" s="37"/>
      <c r="F51" s="22"/>
      <c r="G51" s="22"/>
      <c r="H51" s="22"/>
      <c r="I51" s="22"/>
      <c r="J51" s="22"/>
      <c r="K51" s="22"/>
      <c r="L51" s="22"/>
      <c r="M51" s="22"/>
    </row>
    <row r="52">
      <c r="A52" s="26">
        <v>0</v>
      </c>
      <c r="B52" s="26">
        <v>2</v>
      </c>
      <c r="C52" s="57">
        <f>B52/SUM(B52:B60)</f>
        <v>5.0000000000000001e-03</v>
      </c>
      <c r="D52" s="57">
        <f>BINOMDIST(A52,8,0.5,FALSE())</f>
        <v>3.90625e-03</v>
      </c>
      <c r="E52" s="22"/>
      <c r="F52" s="22"/>
      <c r="G52" s="22"/>
      <c r="H52" s="22"/>
      <c r="I52" s="22"/>
      <c r="J52" s="22"/>
      <c r="K52" s="22"/>
      <c r="L52" s="22"/>
      <c r="M52" s="22"/>
    </row>
    <row r="53">
      <c r="A53" s="26">
        <v>1</v>
      </c>
      <c r="B53" s="26">
        <v>9</v>
      </c>
      <c r="C53" s="57">
        <f>B53/SUM(B52:B60)</f>
        <v>2.2499999999999999e-02</v>
      </c>
      <c r="D53" s="57">
        <f>BINOMDIST(A53,8,0.5,FALSE())</f>
        <v>3.125e-02</v>
      </c>
      <c r="E53" s="22"/>
      <c r="F53" s="22"/>
      <c r="G53" s="22"/>
      <c r="H53" s="22"/>
      <c r="I53" s="22"/>
      <c r="J53" s="22"/>
      <c r="K53" s="22"/>
      <c r="L53" s="22"/>
      <c r="M53" s="22"/>
    </row>
    <row r="54">
      <c r="A54" s="26">
        <v>2</v>
      </c>
      <c r="B54" s="26">
        <v>37</v>
      </c>
      <c r="C54" s="57">
        <f>B54/SUM(B52:B60)</f>
        <v>9.2499999999999999e-02</v>
      </c>
      <c r="D54" s="57">
        <f>BINOMDIST(A54,8,0.5,FALSE())</f>
        <v>0.109375</v>
      </c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6">
        <v>3</v>
      </c>
      <c r="B55" s="26">
        <v>82</v>
      </c>
      <c r="C55" s="57">
        <f>B55/SUM(B52:B60)</f>
        <v>0.20499999999999999</v>
      </c>
      <c r="D55" s="57">
        <f>BINOMDIST(A55,8,0.5,FALSE())</f>
        <v>0.21875</v>
      </c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6">
        <v>4</v>
      </c>
      <c r="B56" s="26">
        <v>108</v>
      </c>
      <c r="C56" s="57">
        <f>B56/SUM(B52:B60)</f>
        <v>0.27000000000000002</v>
      </c>
      <c r="D56" s="57">
        <f>BINOMDIST(A56,8,0.5,FALSE())</f>
        <v>0.2734375</v>
      </c>
      <c r="E56" s="22"/>
      <c r="F56" s="22"/>
      <c r="G56" s="22"/>
      <c r="H56" s="22"/>
      <c r="I56" s="22"/>
      <c r="J56" s="22"/>
      <c r="K56" s="22"/>
      <c r="L56" s="22"/>
      <c r="M56" s="22"/>
    </row>
    <row r="57">
      <c r="A57" s="26">
        <v>5</v>
      </c>
      <c r="B57" s="26">
        <v>93</v>
      </c>
      <c r="C57" s="57">
        <f>B57/SUM(B52:B60)</f>
        <v>0.23250000000000001</v>
      </c>
      <c r="D57" s="57">
        <f>BINOMDIST(A57,8,0.5,FALSE())</f>
        <v>0.21875</v>
      </c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26">
        <v>6</v>
      </c>
      <c r="B58" s="26">
        <v>45</v>
      </c>
      <c r="C58" s="57">
        <f>B58/SUM(B52:B60)</f>
        <v>0.1125</v>
      </c>
      <c r="D58" s="57">
        <f>BINOMDIST(A58,8,0.5,FALSE())</f>
        <v>0.109375</v>
      </c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26">
        <v>7</v>
      </c>
      <c r="B59" s="26">
        <v>18</v>
      </c>
      <c r="C59" s="57">
        <f>B59/SUM(B52:B60)</f>
        <v>4.4999999999999998e-02</v>
      </c>
      <c r="D59" s="57">
        <f>BINOMDIST(A59,8,0.5,FALSE())</f>
        <v>3.125e-02</v>
      </c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26">
        <v>8</v>
      </c>
      <c r="B60" s="26">
        <v>6</v>
      </c>
      <c r="C60" s="57">
        <f>B60/SUM(B52:B60)</f>
        <v>1.4999999999999999e-02</v>
      </c>
      <c r="D60" s="57">
        <f>BINOMDIST(A60,8,0.5,FALSE())</f>
        <v>3.90625e-03</v>
      </c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30" t="s">
        <v>151</v>
      </c>
      <c r="B61" s="31">
        <f>SUM(B52:B60)</f>
        <v>400</v>
      </c>
      <c r="C61" s="31">
        <f>SUM(C52:C60)</f>
        <v>1</v>
      </c>
      <c r="D61" s="31">
        <f>SUM(D52:D60)</f>
        <v>1</v>
      </c>
      <c r="E61" s="22"/>
      <c r="F61" s="22"/>
      <c r="G61" s="22"/>
      <c r="H61" s="22"/>
      <c r="I61" s="22"/>
      <c r="J61" s="22"/>
      <c r="K61" s="22"/>
      <c r="L61" s="22"/>
      <c r="M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>
      <c r="A64" s="23" t="s">
        <v>156</v>
      </c>
      <c r="B64" s="23"/>
      <c r="C64" s="23"/>
      <c r="D64" s="23"/>
      <c r="E64" s="23"/>
      <c r="F64" s="23"/>
      <c r="G64" s="23"/>
      <c r="H64" s="23"/>
      <c r="I64" s="23"/>
      <c r="J64" s="23"/>
      <c r="K64" s="22"/>
      <c r="L64" s="22"/>
      <c r="M64" s="22"/>
    </row>
    <row r="65">
      <c r="A65" s="54" t="s">
        <v>132</v>
      </c>
      <c r="B65" s="54" t="s">
        <v>133</v>
      </c>
      <c r="C65" s="54" t="s">
        <v>136</v>
      </c>
      <c r="D65" s="54" t="s">
        <v>157</v>
      </c>
      <c r="E65" s="37"/>
      <c r="F65" s="22"/>
      <c r="G65" s="22"/>
      <c r="H65" s="22"/>
      <c r="I65" s="22"/>
      <c r="J65" s="22"/>
      <c r="K65" s="22"/>
      <c r="L65" s="22"/>
      <c r="M65" s="22"/>
    </row>
    <row r="66">
      <c r="A66" s="26">
        <v>0</v>
      </c>
      <c r="B66" s="26">
        <v>4</v>
      </c>
      <c r="C66" s="57">
        <f>B66/SUM(B66:B73)</f>
        <v>8.8888888888888889e-03</v>
      </c>
      <c r="D66" s="57">
        <f>BINOMDIST(A66,7,0.5,FALSE())</f>
        <v>7.8125e-03</v>
      </c>
      <c r="E66" s="22"/>
      <c r="F66" s="22"/>
      <c r="G66" s="22"/>
      <c r="H66" s="22"/>
      <c r="I66" s="22"/>
      <c r="J66" s="22"/>
      <c r="K66" s="22"/>
      <c r="L66" s="22"/>
      <c r="M66" s="22"/>
    </row>
    <row r="67">
      <c r="A67" s="26">
        <v>1</v>
      </c>
      <c r="B67" s="26">
        <v>26</v>
      </c>
      <c r="C67" s="57">
        <f>B67/SUM(B66:B73)</f>
        <v>5.7777777777777775e-02</v>
      </c>
      <c r="D67" s="57">
        <f>BINOMDIST(A67,7,0.5,FALSE())</f>
        <v>5.46875e-02</v>
      </c>
      <c r="E67" s="22"/>
      <c r="F67" s="22"/>
      <c r="G67" s="22"/>
      <c r="H67" s="22"/>
      <c r="I67" s="22"/>
      <c r="J67" s="22"/>
      <c r="K67" s="22"/>
      <c r="L67" s="22"/>
      <c r="M67" s="22"/>
    </row>
    <row r="68">
      <c r="A68" s="26">
        <v>2</v>
      </c>
      <c r="B68" s="26">
        <v>82</v>
      </c>
      <c r="C68" s="57">
        <f>B68/SUM(B66:B73)</f>
        <v>0.18222222222222223</v>
      </c>
      <c r="D68" s="57">
        <f>BINOMDIST(A68,7,0.5,FALSE())</f>
        <v>0.1640625</v>
      </c>
      <c r="E68" s="22"/>
      <c r="F68" s="22"/>
      <c r="G68" s="22"/>
      <c r="H68" s="22"/>
      <c r="I68" s="22"/>
      <c r="J68" s="22"/>
      <c r="K68" s="22"/>
      <c r="L68" s="22"/>
      <c r="M68" s="22"/>
    </row>
    <row r="69">
      <c r="A69" s="26">
        <v>3</v>
      </c>
      <c r="B69" s="26">
        <v>148</v>
      </c>
      <c r="C69" s="57">
        <f>B69/SUM(B66:B73)</f>
        <v>0.3288888888888889</v>
      </c>
      <c r="D69" s="57">
        <f>BINOMDIST(A69,7,0.5,FALSE())</f>
        <v>0.2734375</v>
      </c>
      <c r="E69" s="22"/>
      <c r="F69" s="22"/>
      <c r="G69" s="22"/>
      <c r="H69" s="22"/>
      <c r="I69" s="22"/>
      <c r="J69" s="22"/>
      <c r="K69" s="22"/>
      <c r="L69" s="22"/>
      <c r="M69" s="22"/>
    </row>
    <row r="70">
      <c r="A70" s="26">
        <v>4</v>
      </c>
      <c r="B70" s="26">
        <v>132</v>
      </c>
      <c r="C70" s="57">
        <f>B70/SUM(B66:B73)</f>
        <v>0.29333333333333333</v>
      </c>
      <c r="D70" s="57">
        <f>BINOMDIST(A70,7,0.5,FALSE())</f>
        <v>0.2734375</v>
      </c>
      <c r="E70" s="22"/>
      <c r="F70" s="22"/>
      <c r="G70" s="22"/>
      <c r="H70" s="22"/>
      <c r="I70" s="22"/>
      <c r="J70" s="22"/>
      <c r="K70" s="22"/>
      <c r="L70" s="22"/>
      <c r="M70" s="22"/>
    </row>
    <row r="71">
      <c r="A71" s="26">
        <v>5</v>
      </c>
      <c r="B71" s="26">
        <v>48</v>
      </c>
      <c r="C71" s="57">
        <f>B71/SUM(B66:B73)</f>
        <v>0.10666666666666667</v>
      </c>
      <c r="D71" s="57">
        <f>BINOMDIST(A71,7,0.5,FALSE())</f>
        <v>0.1640625</v>
      </c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6">
        <v>6</v>
      </c>
      <c r="B72" s="26">
        <v>8</v>
      </c>
      <c r="C72" s="57">
        <f>B72/SUM(B66:B73)</f>
        <v>1.7777777777777778e-02</v>
      </c>
      <c r="D72" s="57">
        <f>BINOMDIST(A72,7,0.5,FALSE())</f>
        <v>5.46875e-02</v>
      </c>
      <c r="E72" s="22"/>
      <c r="F72" s="22"/>
      <c r="G72" s="22"/>
      <c r="H72" s="22"/>
      <c r="I72" s="22"/>
      <c r="J72" s="22"/>
      <c r="K72" s="22"/>
      <c r="L72" s="22"/>
      <c r="M72" s="22"/>
    </row>
    <row r="73">
      <c r="A73" s="26">
        <v>7</v>
      </c>
      <c r="B73" s="26">
        <v>2</v>
      </c>
      <c r="C73" s="57">
        <f>B73/SUM(B66:B73)</f>
        <v>4.4444444444444444e-03</v>
      </c>
      <c r="D73" s="57">
        <f>BINOMDIST(A73,7,0.5,FALSE())</f>
        <v>7.8125e-03</v>
      </c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30" t="s">
        <v>151</v>
      </c>
      <c r="B74" s="31">
        <f>SUM(B66:B73)</f>
        <v>450</v>
      </c>
      <c r="C74" s="31">
        <f>SUM(C66:C73)</f>
        <v>1</v>
      </c>
      <c r="D74" s="31">
        <f>SUM(D66:D73)</f>
        <v>1</v>
      </c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23" t="s">
        <v>158</v>
      </c>
      <c r="B77" s="23"/>
      <c r="C77" s="23"/>
      <c r="D77" s="23"/>
      <c r="E77" s="23"/>
      <c r="F77" s="23"/>
      <c r="G77" s="23"/>
      <c r="H77" s="23"/>
      <c r="I77" s="23"/>
      <c r="J77" s="23"/>
      <c r="K77" s="22"/>
      <c r="L77" s="22"/>
      <c r="M77" s="22"/>
    </row>
    <row r="78">
      <c r="A78" s="54" t="s">
        <v>132</v>
      </c>
      <c r="B78" s="54" t="s">
        <v>133</v>
      </c>
      <c r="C78" s="54" t="s">
        <v>136</v>
      </c>
      <c r="D78" s="54" t="s">
        <v>159</v>
      </c>
      <c r="E78" s="37"/>
      <c r="F78" s="22"/>
      <c r="G78" s="22"/>
      <c r="H78" s="22"/>
      <c r="I78" s="22"/>
      <c r="J78" s="22"/>
      <c r="K78" s="22"/>
      <c r="L78" s="22"/>
      <c r="M78" s="22"/>
    </row>
    <row r="79">
      <c r="A79" s="26">
        <v>0</v>
      </c>
      <c r="B79" s="26">
        <v>2</v>
      </c>
      <c r="C79" s="57">
        <f>B79/SUM(B79:B88)</f>
        <v>3.8461538461538464e-03</v>
      </c>
      <c r="D79" s="57">
        <f>BINOMDIST(A79,9,0.5,FALSE())</f>
        <v>1.953125e-03</v>
      </c>
      <c r="E79" s="22"/>
      <c r="F79" s="22"/>
      <c r="G79" s="22"/>
      <c r="H79" s="22"/>
      <c r="I79" s="22"/>
      <c r="J79" s="22"/>
      <c r="K79" s="22"/>
      <c r="L79" s="22"/>
      <c r="M79" s="22"/>
    </row>
    <row r="80">
      <c r="A80" s="26">
        <v>1</v>
      </c>
      <c r="B80" s="26">
        <v>9</v>
      </c>
      <c r="C80" s="57">
        <f>B80/SUM(B79:B88)</f>
        <v>1.7307692307692309e-02</v>
      </c>
      <c r="D80" s="57">
        <f>BINOMDIST(A80,9,0.5,FALSE())</f>
        <v>1.7578125e-02</v>
      </c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26">
        <v>2</v>
      </c>
      <c r="B81" s="26">
        <v>42</v>
      </c>
      <c r="C81" s="57">
        <f>B81/SUM(B79:B88)</f>
        <v>8.0769230769230774e-02</v>
      </c>
      <c r="D81" s="57">
        <f>BINOMDIST(A81,9,0.5,FALSE())</f>
        <v>7.03125e-02</v>
      </c>
      <c r="E81" s="22"/>
      <c r="F81" s="22"/>
      <c r="G81" s="22"/>
      <c r="H81" s="22"/>
      <c r="I81" s="22"/>
      <c r="J81" s="22"/>
      <c r="K81" s="22"/>
      <c r="L81" s="22"/>
      <c r="M81" s="22"/>
    </row>
    <row r="82">
      <c r="A82" s="26">
        <v>3</v>
      </c>
      <c r="B82" s="26">
        <v>94</v>
      </c>
      <c r="C82" s="57">
        <f>B82/SUM(B79:B88)</f>
        <v>0.18076923076923077</v>
      </c>
      <c r="D82" s="57">
        <f>BINOMDIST(A82,9,0.5,FALSE())</f>
        <v>0.1640625</v>
      </c>
      <c r="E82" s="22"/>
      <c r="F82" s="22"/>
      <c r="G82" s="22"/>
      <c r="H82" s="22"/>
      <c r="I82" s="22"/>
      <c r="J82" s="22"/>
      <c r="K82" s="22"/>
      <c r="L82" s="22"/>
      <c r="M82" s="22"/>
    </row>
    <row r="83">
      <c r="A83" s="26">
        <v>4</v>
      </c>
      <c r="B83" s="26">
        <v>148</v>
      </c>
      <c r="C83" s="57">
        <f>B83/SUM(B79:B88)</f>
        <v>0.2846153846153846</v>
      </c>
      <c r="D83" s="57">
        <f>BINOMDIST(A83,9,0.5,FALSE())</f>
        <v>0.24609375</v>
      </c>
      <c r="E83" s="22"/>
      <c r="F83" s="22"/>
      <c r="G83" s="22"/>
      <c r="H83" s="22"/>
      <c r="I83" s="22"/>
      <c r="J83" s="22"/>
      <c r="K83" s="22"/>
      <c r="L83" s="22"/>
      <c r="M83" s="22"/>
    </row>
    <row r="84">
      <c r="A84" s="26">
        <v>5</v>
      </c>
      <c r="B84" s="26">
        <v>130</v>
      </c>
      <c r="C84" s="57">
        <f>B84/SUM(B79:B88)</f>
        <v>0.25</v>
      </c>
      <c r="D84" s="57">
        <f>BINOMDIST(A84,9,0.5,FALSE())</f>
        <v>0.24609375</v>
      </c>
      <c r="E84" s="22"/>
      <c r="F84" s="22"/>
      <c r="G84" s="22"/>
      <c r="H84" s="22"/>
      <c r="I84" s="22"/>
      <c r="J84" s="22"/>
      <c r="K84" s="22"/>
      <c r="L84" s="22"/>
      <c r="M84" s="22"/>
    </row>
    <row r="85">
      <c r="A85" s="26">
        <v>6</v>
      </c>
      <c r="B85" s="26">
        <v>68</v>
      </c>
      <c r="C85" s="57">
        <f>B85/SUM(B79:B88)</f>
        <v>0.13076923076923078</v>
      </c>
      <c r="D85" s="57">
        <f>BINOMDIST(A85,9,0.5,FALSE())</f>
        <v>0.1640625</v>
      </c>
      <c r="E85" s="22"/>
      <c r="F85" s="22"/>
      <c r="G85" s="22"/>
      <c r="H85" s="22"/>
      <c r="I85" s="22"/>
      <c r="J85" s="22"/>
      <c r="K85" s="22"/>
      <c r="L85" s="22"/>
      <c r="M85" s="22"/>
    </row>
    <row r="86">
      <c r="A86" s="26">
        <v>7</v>
      </c>
      <c r="B86" s="26">
        <v>22</v>
      </c>
      <c r="C86" s="57">
        <f>B86/SUM(B79:B88)</f>
        <v>4.230769230769231e-02</v>
      </c>
      <c r="D86" s="57">
        <f>BINOMDIST(A86,9,0.5,FALSE())</f>
        <v>7.03125e-02</v>
      </c>
      <c r="E86" s="22"/>
      <c r="F86" s="22"/>
      <c r="G86" s="22"/>
      <c r="H86" s="22"/>
      <c r="I86" s="22"/>
      <c r="J86" s="22"/>
      <c r="K86" s="22"/>
      <c r="L86" s="22"/>
      <c r="M86" s="22"/>
    </row>
    <row r="87">
      <c r="A87" s="26">
        <v>8</v>
      </c>
      <c r="B87" s="26">
        <v>4</v>
      </c>
      <c r="C87" s="57">
        <f>B87/SUM(B79:B88)</f>
        <v>7.6923076923076927e-03</v>
      </c>
      <c r="D87" s="57">
        <f>BINOMDIST(A87,9,0.5,FALSE())</f>
        <v>1.7578125e-02</v>
      </c>
      <c r="E87" s="22"/>
      <c r="F87" s="22"/>
      <c r="G87" s="22"/>
      <c r="H87" s="22"/>
      <c r="I87" s="22"/>
      <c r="J87" s="22"/>
      <c r="K87" s="22"/>
      <c r="L87" s="22"/>
      <c r="M87" s="22"/>
    </row>
    <row r="88">
      <c r="A88" s="26">
        <v>9</v>
      </c>
      <c r="B88" s="26">
        <v>1</v>
      </c>
      <c r="C88" s="57">
        <f>B88/SUM(B79:B88)</f>
        <v>1.9230769230769232e-03</v>
      </c>
      <c r="D88" s="57">
        <f>BINOMDIST(A88,9,0.5,FALSE())</f>
        <v>1.953125e-03</v>
      </c>
      <c r="E88" s="22"/>
      <c r="F88" s="22"/>
      <c r="G88" s="22"/>
      <c r="H88" s="22"/>
      <c r="I88" s="22"/>
      <c r="J88" s="22"/>
      <c r="K88" s="22"/>
      <c r="L88" s="22"/>
      <c r="M88" s="22"/>
    </row>
    <row r="89">
      <c r="A89" s="30" t="s">
        <v>151</v>
      </c>
      <c r="B89" s="31">
        <f>SUM(B79:B88)</f>
        <v>520</v>
      </c>
      <c r="C89" s="31">
        <f>SUM(C79:C88)</f>
        <v>0.99999999999999989</v>
      </c>
      <c r="D89" s="31">
        <f>SUM(D79:D88)</f>
        <v>1</v>
      </c>
      <c r="E89" s="22"/>
      <c r="F89" s="22"/>
      <c r="G89" s="22"/>
      <c r="H89" s="22"/>
      <c r="I89" s="22"/>
      <c r="J89" s="22"/>
      <c r="K89" s="22"/>
      <c r="L89" s="22"/>
      <c r="M89" s="22"/>
    </row>
  </sheetData>
  <mergeCells count="9">
    <mergeCell ref="A1:M1"/>
    <mergeCell ref="A3:J3"/>
    <mergeCell ref="A9:H9"/>
    <mergeCell ref="A19:D19"/>
    <mergeCell ref="A27:J27"/>
    <mergeCell ref="A38:J38"/>
    <mergeCell ref="A50:J50"/>
    <mergeCell ref="A64:J64"/>
    <mergeCell ref="A77:J7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4" t="s">
        <v>160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>
      <c r="A3" s="23" t="s">
        <v>161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2"/>
    </row>
    <row r="4">
      <c r="A4" s="54" t="s">
        <v>162</v>
      </c>
      <c r="B4" s="54">
        <v>0</v>
      </c>
      <c r="C4" s="54">
        <v>1</v>
      </c>
      <c r="D4" s="54">
        <v>2</v>
      </c>
      <c r="E4" s="54">
        <v>3</v>
      </c>
      <c r="F4" s="54">
        <v>4</v>
      </c>
      <c r="G4" s="54">
        <v>5</v>
      </c>
      <c r="H4" s="54">
        <v>6</v>
      </c>
      <c r="I4" s="54">
        <v>7</v>
      </c>
      <c r="J4" s="37"/>
      <c r="K4" s="22"/>
      <c r="L4" s="22"/>
      <c r="M4" s="22"/>
    </row>
    <row r="5">
      <c r="A5" s="54" t="s">
        <v>163</v>
      </c>
      <c r="B5" s="26">
        <v>48</v>
      </c>
      <c r="C5" s="26">
        <v>132</v>
      </c>
      <c r="D5" s="26">
        <v>120</v>
      </c>
      <c r="E5" s="26">
        <v>65</v>
      </c>
      <c r="F5" s="26">
        <v>25</v>
      </c>
      <c r="G5" s="26">
        <v>8</v>
      </c>
      <c r="H5" s="26">
        <v>1</v>
      </c>
      <c r="I5" s="26">
        <v>1</v>
      </c>
      <c r="J5" s="22"/>
      <c r="K5" s="22"/>
      <c r="L5" s="22"/>
      <c r="M5" s="22"/>
    </row>
    <row r="6">
      <c r="A6" s="50"/>
      <c r="B6" s="50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>
      <c r="A7" s="30" t="s">
        <v>164</v>
      </c>
      <c r="B7" s="38">
        <f>B20</f>
        <v>400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>
      <c r="A8" s="30" t="s">
        <v>165</v>
      </c>
      <c r="B8" s="59">
        <f>C20/B20</f>
        <v>1.8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>
      <c r="A9" s="50"/>
      <c r="B9" s="50"/>
      <c r="C9" s="41"/>
      <c r="D9" s="41"/>
      <c r="E9" s="41"/>
      <c r="F9" s="41"/>
      <c r="G9" s="41"/>
      <c r="H9" s="22"/>
      <c r="I9" s="22"/>
      <c r="J9" s="22"/>
      <c r="K9" s="22"/>
      <c r="L9" s="22"/>
      <c r="M9" s="22"/>
    </row>
    <row r="10">
      <c r="A10" s="51" t="s">
        <v>166</v>
      </c>
      <c r="B10" s="52"/>
      <c r="C10" s="52"/>
      <c r="D10" s="52"/>
      <c r="E10" s="52"/>
      <c r="F10" s="52"/>
      <c r="G10" s="53"/>
      <c r="H10" s="22"/>
      <c r="I10" s="22"/>
      <c r="J10" s="22"/>
      <c r="K10" s="22"/>
      <c r="L10" s="22"/>
      <c r="M10" s="22"/>
    </row>
    <row r="11">
      <c r="A11" s="54" t="s">
        <v>132</v>
      </c>
      <c r="B11" s="54" t="s">
        <v>133</v>
      </c>
      <c r="C11" s="54" t="s">
        <v>167</v>
      </c>
      <c r="D11" s="54" t="s">
        <v>136</v>
      </c>
      <c r="E11" s="54" t="s">
        <v>168</v>
      </c>
      <c r="F11" s="54" t="s">
        <v>169</v>
      </c>
      <c r="G11" s="22"/>
      <c r="H11" s="22"/>
      <c r="I11" s="22"/>
      <c r="J11" s="22"/>
      <c r="K11" s="22"/>
      <c r="L11" s="22"/>
      <c r="M11" s="22"/>
    </row>
    <row r="12">
      <c r="A12" s="26">
        <v>0</v>
      </c>
      <c r="B12" s="26">
        <v>48</v>
      </c>
      <c r="C12" s="38">
        <f>A12*B12</f>
        <v>0</v>
      </c>
      <c r="D12" s="60">
        <f>B12/B7</f>
        <v>0.12</v>
      </c>
      <c r="E12" s="60">
        <f>POISSON(A12,B8,FALSE())</f>
        <v>0.16529888822158653</v>
      </c>
      <c r="F12" s="40">
        <f>B7*E12</f>
        <v>66.119555288634615</v>
      </c>
      <c r="G12" s="22"/>
      <c r="H12" s="22"/>
      <c r="I12" s="22"/>
      <c r="J12" s="22"/>
      <c r="K12" s="22"/>
      <c r="L12" s="22"/>
      <c r="M12" s="22"/>
    </row>
    <row r="13">
      <c r="A13" s="26">
        <v>1</v>
      </c>
      <c r="B13" s="26">
        <v>132</v>
      </c>
      <c r="C13" s="38">
        <f>A13*B13</f>
        <v>132</v>
      </c>
      <c r="D13" s="60">
        <f>B13/B7</f>
        <v>0.33000000000000002</v>
      </c>
      <c r="E13" s="60">
        <f>POISSON(A13,B8,FALSE())</f>
        <v>0.29753799879885579</v>
      </c>
      <c r="F13" s="40">
        <f>B7*E13</f>
        <v>119.01519951954231</v>
      </c>
      <c r="G13" s="22"/>
      <c r="H13" s="22"/>
      <c r="I13" s="22"/>
      <c r="J13" s="22"/>
      <c r="K13" s="22"/>
      <c r="L13" s="22"/>
      <c r="M13" s="22"/>
    </row>
    <row r="14">
      <c r="A14" s="26">
        <v>2</v>
      </c>
      <c r="B14" s="26">
        <v>120</v>
      </c>
      <c r="C14" s="38">
        <f>A14*B14</f>
        <v>240</v>
      </c>
      <c r="D14" s="60">
        <f>B14/B7</f>
        <v>0.29999999999999999</v>
      </c>
      <c r="E14" s="60">
        <f>POISSON(A14,B8,FALSE())</f>
        <v>0.26778419891897021</v>
      </c>
      <c r="F14" s="40">
        <f>B7*E14</f>
        <v>107.11367956758808</v>
      </c>
      <c r="G14" s="22"/>
      <c r="H14" s="22"/>
      <c r="I14" s="22"/>
      <c r="J14" s="22"/>
      <c r="K14" s="22"/>
      <c r="L14" s="22"/>
      <c r="M14" s="22"/>
    </row>
    <row r="15">
      <c r="A15" s="26">
        <v>3</v>
      </c>
      <c r="B15" s="26">
        <v>65</v>
      </c>
      <c r="C15" s="38">
        <f>A15*B15</f>
        <v>195</v>
      </c>
      <c r="D15" s="60">
        <f>B15/B7</f>
        <v>0.16250000000000001</v>
      </c>
      <c r="E15" s="60">
        <f>POISSON(A15,B8,FALSE())</f>
        <v>0.16067051935138213</v>
      </c>
      <c r="F15" s="40">
        <f>B7*E15</f>
        <v>64.268207740552853</v>
      </c>
      <c r="G15" s="22"/>
      <c r="H15" s="22"/>
      <c r="I15" s="22"/>
      <c r="J15" s="22"/>
      <c r="K15" s="22"/>
      <c r="L15" s="22"/>
      <c r="M15" s="22"/>
    </row>
    <row r="16">
      <c r="A16" s="26">
        <v>4</v>
      </c>
      <c r="B16" s="26">
        <v>25</v>
      </c>
      <c r="C16" s="38">
        <f>A16*B16</f>
        <v>100</v>
      </c>
      <c r="D16" s="60">
        <f>B16/B7</f>
        <v>6.25e-02</v>
      </c>
      <c r="E16" s="60">
        <f>POISSON(A16,B8,FALSE())</f>
        <v>7.2301733708121971e-02</v>
      </c>
      <c r="F16" s="40">
        <f>B7*E16</f>
        <v>28.920693483248787</v>
      </c>
      <c r="G16" s="22"/>
      <c r="H16" s="22"/>
      <c r="I16" s="22"/>
      <c r="J16" s="22"/>
      <c r="K16" s="22"/>
      <c r="L16" s="22"/>
      <c r="M16" s="22"/>
    </row>
    <row r="17">
      <c r="A17" s="26">
        <v>5</v>
      </c>
      <c r="B17" s="26">
        <v>8</v>
      </c>
      <c r="C17" s="38">
        <f>A17*B17</f>
        <v>40</v>
      </c>
      <c r="D17" s="60">
        <f>B17/B7</f>
        <v>2.e-02</v>
      </c>
      <c r="E17" s="60">
        <f>POISSON(A17,B8,FALSE())</f>
        <v>2.6028624134923909e-02</v>
      </c>
      <c r="F17" s="40">
        <f>B7*E17</f>
        <v>10.411449653969564</v>
      </c>
      <c r="G17" s="22"/>
      <c r="H17" s="22"/>
      <c r="I17" s="22"/>
      <c r="J17" s="22"/>
      <c r="K17" s="22"/>
      <c r="L17" s="22"/>
      <c r="M17" s="22"/>
    </row>
    <row r="18">
      <c r="A18" s="26">
        <v>6</v>
      </c>
      <c r="B18" s="26">
        <v>1</v>
      </c>
      <c r="C18" s="38">
        <f>A18*B18</f>
        <v>6</v>
      </c>
      <c r="D18" s="60">
        <f>B18/B7</f>
        <v>2.5000000000000001e-03</v>
      </c>
      <c r="E18" s="60">
        <f>POISSON(A18,B8,FALSE())</f>
        <v>7.8085872404771725e-03</v>
      </c>
      <c r="F18" s="40">
        <f>B7*E18</f>
        <v>3.1234348961908691</v>
      </c>
      <c r="G18" s="22"/>
      <c r="H18" s="22"/>
      <c r="I18" s="22"/>
      <c r="J18" s="22"/>
      <c r="K18" s="22"/>
      <c r="L18" s="22"/>
      <c r="M18" s="22"/>
    </row>
    <row r="19">
      <c r="A19" s="26">
        <v>7</v>
      </c>
      <c r="B19" s="26">
        <v>1</v>
      </c>
      <c r="C19" s="38">
        <f>A19*B19</f>
        <v>7</v>
      </c>
      <c r="D19" s="60">
        <f>B19/B7</f>
        <v>2.5000000000000001e-03</v>
      </c>
      <c r="E19" s="60">
        <f>POISSON(A19,B8,FALSE())</f>
        <v>2.0079224332655589e-03</v>
      </c>
      <c r="F19" s="40">
        <f>B7*E19</f>
        <v>0.80316897330622361</v>
      </c>
      <c r="G19" s="22"/>
      <c r="H19" s="22"/>
      <c r="I19" s="22"/>
      <c r="J19" s="22"/>
      <c r="K19" s="22"/>
      <c r="L19" s="22"/>
      <c r="M19" s="22"/>
    </row>
    <row r="20">
      <c r="A20" s="30" t="s">
        <v>105</v>
      </c>
      <c r="B20" s="38">
        <f>SUM(B12:B19)</f>
        <v>400</v>
      </c>
      <c r="C20" s="38">
        <f>SUM(C12:C19)</f>
        <v>720</v>
      </c>
      <c r="D20" s="60">
        <f>SUM(D12:D19)</f>
        <v>0.99999999999999989</v>
      </c>
      <c r="E20" s="60">
        <f>SUM(E12:E19)</f>
        <v>0.99943847280758324</v>
      </c>
      <c r="F20" s="40">
        <f>SUM(F12:F19)</f>
        <v>399.77538912303328</v>
      </c>
      <c r="G20" s="22"/>
      <c r="H20" s="22"/>
      <c r="I20" s="22"/>
      <c r="J20" s="22"/>
      <c r="K20" s="22"/>
      <c r="L20" s="22"/>
      <c r="M20" s="22"/>
    </row>
    <row r="21">
      <c r="A21" s="50"/>
      <c r="B21" s="50"/>
      <c r="C21" s="50"/>
      <c r="D21" s="50"/>
      <c r="E21" s="22"/>
      <c r="F21" s="22"/>
      <c r="G21" s="22"/>
      <c r="H21" s="22"/>
      <c r="I21" s="22"/>
      <c r="J21" s="22"/>
      <c r="K21" s="22"/>
      <c r="L21" s="22"/>
      <c r="M21" s="22"/>
    </row>
    <row r="22">
      <c r="A22" s="51" t="s">
        <v>140</v>
      </c>
      <c r="B22" s="52"/>
      <c r="C22" s="52"/>
      <c r="D22" s="53"/>
      <c r="E22" s="22"/>
      <c r="F22" s="22"/>
      <c r="G22" s="22"/>
      <c r="H22" s="22"/>
      <c r="I22" s="22"/>
      <c r="J22" s="22"/>
      <c r="K22" s="22"/>
      <c r="L22" s="22"/>
      <c r="M22" s="22"/>
    </row>
    <row r="23">
      <c r="A23" s="54" t="s">
        <v>61</v>
      </c>
      <c r="B23" s="54" t="s">
        <v>141</v>
      </c>
      <c r="C23" s="54" t="s">
        <v>62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>
      <c r="A24" s="26" t="s">
        <v>170</v>
      </c>
      <c r="B24" s="58" t="s">
        <v>171</v>
      </c>
      <c r="C24" s="61">
        <f>B20</f>
        <v>400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>
      <c r="A25" s="26" t="s">
        <v>172</v>
      </c>
      <c r="B25" s="58" t="s">
        <v>173</v>
      </c>
      <c r="C25" s="59">
        <f>C20/B20</f>
        <v>1.8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>
      <c r="A26" s="26" t="s">
        <v>174</v>
      </c>
      <c r="B26" s="58" t="s">
        <v>175</v>
      </c>
      <c r="C26" s="59">
        <f>C20/B20</f>
        <v>1.8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>
      <c r="A27" s="26" t="s">
        <v>176</v>
      </c>
      <c r="B27" s="58" t="s">
        <v>177</v>
      </c>
      <c r="C27" s="59">
        <f>SQRT(C20/B20)</f>
        <v>1.3416407864998738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>
      <c r="A30" s="23" t="s">
        <v>178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2"/>
    </row>
    <row r="31">
      <c r="A31" s="30" t="s">
        <v>164</v>
      </c>
      <c r="B31" s="38">
        <f>B42</f>
        <v>360</v>
      </c>
      <c r="C31" s="37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>
      <c r="A32" s="30" t="s">
        <v>179</v>
      </c>
      <c r="B32" s="59">
        <f>C42/B42</f>
        <v>1.8861111111111111</v>
      </c>
      <c r="C32" s="45"/>
      <c r="D32" s="41"/>
      <c r="E32" s="41"/>
      <c r="F32" s="41"/>
      <c r="G32" s="22"/>
      <c r="H32" s="22"/>
      <c r="I32" s="22"/>
      <c r="J32" s="22"/>
      <c r="K32" s="22"/>
      <c r="L32" s="22"/>
      <c r="M32" s="22"/>
    </row>
    <row r="33">
      <c r="A33" s="54" t="s">
        <v>132</v>
      </c>
      <c r="B33" s="54" t="s">
        <v>133</v>
      </c>
      <c r="C33" s="54" t="s">
        <v>167</v>
      </c>
      <c r="D33" s="54" t="s">
        <v>136</v>
      </c>
      <c r="E33" s="54" t="s">
        <v>168</v>
      </c>
      <c r="F33" s="54" t="s">
        <v>180</v>
      </c>
      <c r="G33" s="22"/>
      <c r="H33" s="22"/>
      <c r="I33" s="22"/>
      <c r="J33" s="22"/>
      <c r="K33" s="22"/>
      <c r="L33" s="22"/>
      <c r="M33" s="22"/>
    </row>
    <row r="34">
      <c r="A34" s="26">
        <v>0</v>
      </c>
      <c r="B34" s="26">
        <v>42</v>
      </c>
      <c r="C34" s="38">
        <f>A34*B34</f>
        <v>0</v>
      </c>
      <c r="D34" s="60">
        <f>B34/B31</f>
        <v>0.11666666666666667</v>
      </c>
      <c r="E34" s="60">
        <f>POISSON(A34,B32,FALSE())</f>
        <v>0.15166045416144858</v>
      </c>
      <c r="F34" s="40">
        <f>B31*E34</f>
        <v>54.597763498121488</v>
      </c>
      <c r="G34" s="22"/>
      <c r="H34" s="22"/>
      <c r="I34" s="22"/>
      <c r="J34" s="22"/>
      <c r="K34" s="22"/>
      <c r="L34" s="22"/>
      <c r="M34" s="22"/>
    </row>
    <row r="35">
      <c r="A35" s="26">
        <v>1</v>
      </c>
      <c r="B35" s="26">
        <v>108</v>
      </c>
      <c r="C35" s="38">
        <f>A35*B35</f>
        <v>108</v>
      </c>
      <c r="D35" s="60">
        <f>B35/B31</f>
        <v>0.29999999999999999</v>
      </c>
      <c r="E35" s="60">
        <f>POISSON(A35,B32,FALSE())</f>
        <v>0.28604846771006548</v>
      </c>
      <c r="F35" s="40">
        <f>B31*E35</f>
        <v>102.97744837562357</v>
      </c>
      <c r="G35" s="22"/>
      <c r="H35" s="22"/>
      <c r="I35" s="22"/>
      <c r="J35" s="22"/>
      <c r="K35" s="22"/>
      <c r="L35" s="22"/>
      <c r="M35" s="22"/>
    </row>
    <row r="36">
      <c r="A36" s="26">
        <v>2</v>
      </c>
      <c r="B36" s="26">
        <v>115</v>
      </c>
      <c r="C36" s="38">
        <f>A36*B36</f>
        <v>230</v>
      </c>
      <c r="D36" s="60">
        <f>B36/B31</f>
        <v>0.31944444444444442</v>
      </c>
      <c r="E36" s="60">
        <f>POISSON(A36,B32,FALSE())</f>
        <v>0.26975959663213123</v>
      </c>
      <c r="F36" s="40">
        <f>B31*E36</f>
        <v>97.113454787567235</v>
      </c>
      <c r="G36" s="22"/>
      <c r="H36" s="22"/>
      <c r="I36" s="22"/>
      <c r="J36" s="22"/>
      <c r="K36" s="22"/>
      <c r="L36" s="22"/>
      <c r="M36" s="22"/>
    </row>
    <row r="37">
      <c r="A37" s="26">
        <v>3</v>
      </c>
      <c r="B37" s="26">
        <v>58</v>
      </c>
      <c r="C37" s="38">
        <f>A37*B37</f>
        <v>174</v>
      </c>
      <c r="D37" s="60">
        <f>B37/B31</f>
        <v>0.16111111111111112</v>
      </c>
      <c r="E37" s="60">
        <f>POISSON(A37,B32,FALSE())</f>
        <v>0.16959885751223802</v>
      </c>
      <c r="F37" s="40">
        <f>B31*E37</f>
        <v>61.055588704405686</v>
      </c>
      <c r="G37" s="22"/>
      <c r="H37" s="22"/>
      <c r="I37" s="22"/>
      <c r="J37" s="22"/>
      <c r="K37" s="22"/>
      <c r="L37" s="22"/>
      <c r="M37" s="22"/>
    </row>
    <row r="38">
      <c r="A38" s="26">
        <v>4</v>
      </c>
      <c r="B38" s="26">
        <v>23</v>
      </c>
      <c r="C38" s="38">
        <f>A38*B38</f>
        <v>92</v>
      </c>
      <c r="D38" s="60">
        <f>B38/B31</f>
        <v>6.3888888888888884e-02</v>
      </c>
      <c r="E38" s="60">
        <f>POISSON(A38,B32,FALSE())</f>
        <v>7.9970572396395573e-02</v>
      </c>
      <c r="F38" s="40">
        <f>B31*E38</f>
        <v>28.789406062702405</v>
      </c>
      <c r="G38" s="22"/>
      <c r="H38" s="22"/>
      <c r="I38" s="22"/>
      <c r="J38" s="22"/>
      <c r="K38" s="22"/>
      <c r="L38" s="22"/>
      <c r="M38" s="22"/>
    </row>
    <row r="39">
      <c r="A39" s="26">
        <v>5</v>
      </c>
      <c r="B39" s="26">
        <v>10</v>
      </c>
      <c r="C39" s="38">
        <f>A39*B39</f>
        <v>50</v>
      </c>
      <c r="D39" s="60">
        <f>B39/B31</f>
        <v>2.7777777777777776e-02</v>
      </c>
      <c r="E39" s="60">
        <f>POISSON(A39,B32,FALSE())</f>
        <v>3.0166677031751441e-02</v>
      </c>
      <c r="F39" s="40">
        <f>B31*E39</f>
        <v>10.860003731430519</v>
      </c>
      <c r="G39" s="22"/>
      <c r="H39" s="22"/>
      <c r="I39" s="22"/>
      <c r="J39" s="22"/>
      <c r="K39" s="22"/>
      <c r="L39" s="22"/>
      <c r="M39" s="22"/>
    </row>
    <row r="40">
      <c r="A40" s="26">
        <v>6</v>
      </c>
      <c r="B40" s="26">
        <v>3</v>
      </c>
      <c r="C40" s="38">
        <f>A40*B40</f>
        <v>18</v>
      </c>
      <c r="D40" s="60">
        <f>B40/B31</f>
        <v>8.3333333333333332e-03</v>
      </c>
      <c r="E40" s="60">
        <f>POISSON(A40,B32,FALSE())</f>
        <v>9.4829507891477909e-03</v>
      </c>
      <c r="F40" s="40">
        <f>B31*E40</f>
        <v>3.4138622840932049</v>
      </c>
      <c r="G40" s="22"/>
      <c r="H40" s="22"/>
      <c r="I40" s="22"/>
      <c r="J40" s="22"/>
      <c r="K40" s="22"/>
      <c r="L40" s="22"/>
      <c r="M40" s="22"/>
    </row>
    <row r="41">
      <c r="A41" s="26">
        <v>7</v>
      </c>
      <c r="B41" s="26">
        <v>1</v>
      </c>
      <c r="C41" s="38">
        <f>A41*B41</f>
        <v>7</v>
      </c>
      <c r="D41" s="60">
        <f>B41/B31</f>
        <v>2.7777777777777779e-03</v>
      </c>
      <c r="E41" s="60">
        <f>POISSON(A41,B32,FALSE())</f>
        <v>2.5551284070759318e-03</v>
      </c>
      <c r="F41" s="40">
        <f>B31*E41</f>
        <v>0.9198462265473355</v>
      </c>
      <c r="G41" s="22"/>
      <c r="H41" s="22"/>
      <c r="I41" s="22"/>
      <c r="J41" s="22"/>
      <c r="K41" s="22"/>
      <c r="L41" s="22"/>
      <c r="M41" s="22"/>
    </row>
    <row r="42">
      <c r="A42" s="30" t="s">
        <v>105</v>
      </c>
      <c r="B42" s="38">
        <f>SUM(B34:B41)</f>
        <v>360</v>
      </c>
      <c r="C42" s="38">
        <f>SUM(C34:C41)</f>
        <v>679</v>
      </c>
      <c r="D42" s="60">
        <f>SUM(D34:D41)</f>
        <v>0.99999999999999989</v>
      </c>
      <c r="E42" s="60">
        <f>SUM(E34:E41)</f>
        <v>0.99924270464025411</v>
      </c>
      <c r="F42" s="40">
        <f>SUM(F34:F41)</f>
        <v>359.72737367049149</v>
      </c>
      <c r="G42" s="22"/>
      <c r="H42" s="22"/>
      <c r="I42" s="22"/>
      <c r="J42" s="22"/>
      <c r="K42" s="22"/>
      <c r="L42" s="22"/>
      <c r="M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3" t="s">
        <v>181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2"/>
    </row>
    <row r="46">
      <c r="A46" s="30" t="s">
        <v>164</v>
      </c>
      <c r="B46" s="38">
        <f>B59</f>
        <v>480</v>
      </c>
      <c r="C46" s="37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30" t="s">
        <v>179</v>
      </c>
      <c r="B47" s="59">
        <f>C59/B59</f>
        <v>3.1104166666666666</v>
      </c>
      <c r="C47" s="45"/>
      <c r="D47" s="41"/>
      <c r="E47" s="41"/>
      <c r="F47" s="41"/>
      <c r="G47" s="22"/>
      <c r="H47" s="22"/>
      <c r="I47" s="22"/>
      <c r="J47" s="22"/>
      <c r="K47" s="22"/>
      <c r="L47" s="22"/>
      <c r="M47" s="22"/>
    </row>
    <row r="48">
      <c r="A48" s="54" t="s">
        <v>132</v>
      </c>
      <c r="B48" s="54" t="s">
        <v>133</v>
      </c>
      <c r="C48" s="54" t="s">
        <v>167</v>
      </c>
      <c r="D48" s="54" t="s">
        <v>136</v>
      </c>
      <c r="E48" s="54" t="s">
        <v>168</v>
      </c>
      <c r="F48" s="54" t="s">
        <v>180</v>
      </c>
      <c r="G48" s="22"/>
      <c r="H48" s="22"/>
      <c r="I48" s="22"/>
      <c r="J48" s="22"/>
      <c r="K48" s="22"/>
      <c r="L48" s="22"/>
      <c r="M48" s="22"/>
    </row>
    <row r="49">
      <c r="A49" s="26">
        <v>0</v>
      </c>
      <c r="B49" s="26">
        <v>28</v>
      </c>
      <c r="C49" s="38">
        <f>A49*B49</f>
        <v>0</v>
      </c>
      <c r="D49" s="60">
        <f>B49/B46</f>
        <v>5.8333333333333334e-02</v>
      </c>
      <c r="E49" s="60">
        <f>POISSON(A49,B47,FALSE())</f>
        <v>4.4582375479955791e-02</v>
      </c>
      <c r="F49" s="40">
        <f>B46*E49</f>
        <v>21.399540230378779</v>
      </c>
      <c r="G49" s="22"/>
      <c r="H49" s="22"/>
      <c r="I49" s="22"/>
      <c r="J49" s="22"/>
      <c r="K49" s="22"/>
      <c r="L49" s="22"/>
      <c r="M49" s="22"/>
    </row>
    <row r="50">
      <c r="A50" s="26">
        <v>1</v>
      </c>
      <c r="B50" s="26">
        <v>62</v>
      </c>
      <c r="C50" s="38">
        <f>A50*B50</f>
        <v>62</v>
      </c>
      <c r="D50" s="60">
        <f>B50/B46</f>
        <v>0.12916666666666668</v>
      </c>
      <c r="E50" s="60">
        <f>POISSON(A50,B47,FALSE())</f>
        <v>0.13866976373244583</v>
      </c>
      <c r="F50" s="40">
        <f>B46*E50</f>
        <v>66.561486591573995</v>
      </c>
      <c r="G50" s="22"/>
      <c r="H50" s="22"/>
      <c r="I50" s="22"/>
      <c r="J50" s="22"/>
      <c r="K50" s="22"/>
      <c r="L50" s="22"/>
      <c r="M50" s="22"/>
    </row>
    <row r="51">
      <c r="A51" s="26">
        <v>2</v>
      </c>
      <c r="B51" s="26">
        <v>95</v>
      </c>
      <c r="C51" s="38">
        <f>A51*B51</f>
        <v>190</v>
      </c>
      <c r="D51" s="60">
        <f>B51/B46</f>
        <v>0.19791666666666666</v>
      </c>
      <c r="E51" s="60">
        <f>POISSON(A51,B47,FALSE())</f>
        <v>0.21566037213806416</v>
      </c>
      <c r="F51" s="40">
        <f>B46*E51</f>
        <v>103.5169786262708</v>
      </c>
      <c r="G51" s="22"/>
      <c r="H51" s="22"/>
      <c r="I51" s="22"/>
      <c r="J51" s="22"/>
      <c r="K51" s="22"/>
      <c r="L51" s="22"/>
      <c r="M51" s="22"/>
    </row>
    <row r="52">
      <c r="A52" s="26">
        <v>3</v>
      </c>
      <c r="B52" s="26">
        <v>110</v>
      </c>
      <c r="C52" s="38">
        <f>A52*B52</f>
        <v>330</v>
      </c>
      <c r="D52" s="60">
        <f>B52/B46</f>
        <v>0.22916666666666666</v>
      </c>
      <c r="E52" s="60">
        <f>POISSON(A52,B47,FALSE())</f>
        <v>0.22359787194592348</v>
      </c>
      <c r="F52" s="40">
        <f>B46*E52</f>
        <v>107.32697853404328</v>
      </c>
      <c r="G52" s="22"/>
      <c r="H52" s="22"/>
      <c r="I52" s="22"/>
      <c r="J52" s="22"/>
      <c r="K52" s="22"/>
      <c r="L52" s="22"/>
      <c r="M52" s="22"/>
    </row>
    <row r="53">
      <c r="A53" s="26">
        <v>4</v>
      </c>
      <c r="B53" s="26">
        <v>87</v>
      </c>
      <c r="C53" s="38">
        <f>A53*B53</f>
        <v>348</v>
      </c>
      <c r="D53" s="60">
        <f>B53/B46</f>
        <v>0.18124999999999999</v>
      </c>
      <c r="E53" s="60">
        <f>POISSON(A53,B47,FALSE())</f>
        <v>0.17387063688294987</v>
      </c>
      <c r="F53" s="40">
        <f>B46*E53</f>
        <v>83.457905703815939</v>
      </c>
      <c r="G53" s="22"/>
      <c r="H53" s="22"/>
      <c r="I53" s="22"/>
      <c r="J53" s="22"/>
      <c r="K53" s="22"/>
      <c r="L53" s="22"/>
      <c r="M53" s="22"/>
    </row>
    <row r="54">
      <c r="A54" s="26">
        <v>5</v>
      </c>
      <c r="B54" s="26">
        <v>52</v>
      </c>
      <c r="C54" s="38">
        <f>A54*B54</f>
        <v>260</v>
      </c>
      <c r="D54" s="60">
        <f>B54/B46</f>
        <v>0.10833333333333334</v>
      </c>
      <c r="E54" s="60">
        <f>POISSON(A54,B47,FALSE())</f>
        <v>0.10816202536093505</v>
      </c>
      <c r="F54" s="40">
        <f>B46*E54</f>
        <v>51.917772173248828</v>
      </c>
      <c r="G54" s="22"/>
      <c r="H54" s="22"/>
      <c r="I54" s="22"/>
      <c r="J54" s="22"/>
      <c r="K54" s="22"/>
      <c r="L54" s="22"/>
      <c r="M54" s="22"/>
    </row>
    <row r="55">
      <c r="A55" s="26">
        <v>6</v>
      </c>
      <c r="B55" s="26">
        <v>28</v>
      </c>
      <c r="C55" s="38">
        <f>A55*B55</f>
        <v>168</v>
      </c>
      <c r="D55" s="60">
        <f>B55/B46</f>
        <v>5.8333333333333334e-02</v>
      </c>
      <c r="E55" s="60">
        <f>POISSON(A55,B47,FALSE())</f>
        <v>5.6071494397179185e-02</v>
      </c>
      <c r="F55" s="40">
        <f>B46*E55</f>
        <v>26.914317310646009</v>
      </c>
      <c r="G55" s="22"/>
      <c r="H55" s="22"/>
      <c r="I55" s="22"/>
      <c r="J55" s="22"/>
      <c r="K55" s="22"/>
      <c r="L55" s="22"/>
      <c r="M55" s="22"/>
    </row>
    <row r="56">
      <c r="A56" s="26">
        <v>7</v>
      </c>
      <c r="B56" s="26">
        <v>11</v>
      </c>
      <c r="C56" s="38">
        <f>A56*B56</f>
        <v>77</v>
      </c>
      <c r="D56" s="60">
        <f>B56/B46</f>
        <v>2.2916666666666665e-02</v>
      </c>
      <c r="E56" s="60">
        <f>POISSON(A56,B47,FALSE())</f>
        <v>2.4915101528270388e-02</v>
      </c>
      <c r="F56" s="40">
        <f>B46*E56</f>
        <v>11.959248733569787</v>
      </c>
      <c r="G56" s="22"/>
      <c r="H56" s="22"/>
      <c r="I56" s="22"/>
      <c r="J56" s="22"/>
      <c r="K56" s="22"/>
      <c r="L56" s="22"/>
      <c r="M56" s="22"/>
    </row>
    <row r="57">
      <c r="A57" s="26">
        <v>8</v>
      </c>
      <c r="B57" s="26">
        <v>5</v>
      </c>
      <c r="C57" s="38">
        <f>A57*B57</f>
        <v>40</v>
      </c>
      <c r="D57" s="60">
        <f>B57/B46</f>
        <v>1.0416666666666666e-02</v>
      </c>
      <c r="E57" s="60">
        <f>POISSON(A57,B47,FALSE())</f>
        <v>9.6870433806530449e-03</v>
      </c>
      <c r="F57" s="40">
        <f>B46*E57</f>
        <v>4.6497808227134616</v>
      </c>
      <c r="G57" s="22"/>
      <c r="H57" s="22"/>
      <c r="I57" s="22"/>
      <c r="J57" s="22"/>
      <c r="K57" s="22"/>
      <c r="L57" s="22"/>
      <c r="M57" s="22"/>
    </row>
    <row r="58">
      <c r="A58" s="26">
        <v>9</v>
      </c>
      <c r="B58" s="26">
        <v>2</v>
      </c>
      <c r="C58" s="38">
        <f>A58*B58</f>
        <v>18</v>
      </c>
      <c r="D58" s="60">
        <f>B58/B46</f>
        <v>4.1666666666666666e-03</v>
      </c>
      <c r="E58" s="60">
        <f>POISSON(A58,B47,FALSE())</f>
        <v>3.3478601313229159e-03</v>
      </c>
      <c r="F58" s="40">
        <f>B46*E58</f>
        <v>1.6069728630349995</v>
      </c>
      <c r="G58" s="22"/>
      <c r="H58" s="22"/>
      <c r="I58" s="22"/>
      <c r="J58" s="22"/>
      <c r="K58" s="22"/>
      <c r="L58" s="22"/>
      <c r="M58" s="22"/>
    </row>
    <row r="59">
      <c r="A59" s="30" t="s">
        <v>105</v>
      </c>
      <c r="B59" s="38">
        <f>SUM(B49:B58)</f>
        <v>480</v>
      </c>
      <c r="C59" s="38">
        <f>SUM(C49:C58)</f>
        <v>1493</v>
      </c>
      <c r="D59" s="60">
        <f>SUM(D49:D58)</f>
        <v>0.99999999999999989</v>
      </c>
      <c r="E59" s="60">
        <f>SUM(E49:E58)</f>
        <v>0.99856454497769986</v>
      </c>
      <c r="F59" s="40">
        <f>SUM(F49:F58)</f>
        <v>479.31098158929586</v>
      </c>
      <c r="G59" s="22"/>
      <c r="H59" s="22"/>
      <c r="I59" s="22"/>
      <c r="J59" s="22"/>
      <c r="K59" s="22"/>
      <c r="L59" s="22"/>
      <c r="M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>
      <c r="A62" s="23" t="s">
        <v>182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2"/>
    </row>
    <row r="63">
      <c r="A63" s="30" t="s">
        <v>164</v>
      </c>
      <c r="B63" s="38">
        <f>B76</f>
        <v>200</v>
      </c>
      <c r="C63" s="37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>
      <c r="A64" s="30" t="s">
        <v>179</v>
      </c>
      <c r="B64" s="59">
        <f>C76/B76</f>
        <v>4.5899999999999999</v>
      </c>
      <c r="C64" s="45"/>
      <c r="D64" s="41"/>
      <c r="E64" s="41"/>
      <c r="F64" s="41"/>
      <c r="G64" s="22"/>
      <c r="H64" s="22"/>
      <c r="I64" s="22"/>
      <c r="J64" s="22"/>
      <c r="K64" s="22"/>
      <c r="L64" s="22"/>
      <c r="M64" s="22"/>
    </row>
    <row r="65">
      <c r="A65" s="54" t="s">
        <v>132</v>
      </c>
      <c r="B65" s="54" t="s">
        <v>133</v>
      </c>
      <c r="C65" s="54" t="s">
        <v>167</v>
      </c>
      <c r="D65" s="54" t="s">
        <v>136</v>
      </c>
      <c r="E65" s="54" t="s">
        <v>168</v>
      </c>
      <c r="F65" s="54" t="s">
        <v>180</v>
      </c>
      <c r="G65" s="22"/>
      <c r="H65" s="22"/>
      <c r="I65" s="22"/>
      <c r="J65" s="22"/>
      <c r="K65" s="22"/>
      <c r="L65" s="22"/>
      <c r="M65" s="22"/>
    </row>
    <row r="66">
      <c r="A66" s="26">
        <v>0</v>
      </c>
      <c r="B66" s="26">
        <v>4</v>
      </c>
      <c r="C66" s="38">
        <f>A66*B66</f>
        <v>0</v>
      </c>
      <c r="D66" s="60">
        <f>B66/B63</f>
        <v>2.e-02</v>
      </c>
      <c r="E66" s="60">
        <f>POISSON(A66,B64,FALSE())</f>
        <v>1.0152858373369763e-02</v>
      </c>
      <c r="F66" s="40">
        <f>B63*E66</f>
        <v>2.0305716746739524</v>
      </c>
      <c r="G66" s="22"/>
      <c r="H66" s="22"/>
      <c r="I66" s="22"/>
      <c r="J66" s="22"/>
      <c r="K66" s="22"/>
      <c r="L66" s="22"/>
      <c r="M66" s="22"/>
    </row>
    <row r="67">
      <c r="A67" s="26">
        <v>1</v>
      </c>
      <c r="B67" s="26">
        <v>8</v>
      </c>
      <c r="C67" s="38">
        <f>A67*B67</f>
        <v>8</v>
      </c>
      <c r="D67" s="60">
        <f>B67/B63</f>
        <v>4.0000000000000001e-02</v>
      </c>
      <c r="E67" s="60">
        <f>POISSON(A67,B64,FALSE())</f>
        <v>4.6601619933767213e-02</v>
      </c>
      <c r="F67" s="40">
        <f>B63*E67</f>
        <v>9.3203239867534435</v>
      </c>
      <c r="G67" s="22"/>
      <c r="H67" s="22"/>
      <c r="I67" s="22"/>
      <c r="J67" s="22"/>
      <c r="K67" s="22"/>
      <c r="L67" s="22"/>
      <c r="M67" s="22"/>
    </row>
    <row r="68">
      <c r="A68" s="26">
        <v>2</v>
      </c>
      <c r="B68" s="26">
        <v>16</v>
      </c>
      <c r="C68" s="38">
        <f>A68*B68</f>
        <v>32</v>
      </c>
      <c r="D68" s="60">
        <f>B68/B63</f>
        <v>8.0000000000000002e-02</v>
      </c>
      <c r="E68" s="60">
        <f>POISSON(A68,B64,FALSE())</f>
        <v>0.10695071774799574</v>
      </c>
      <c r="F68" s="40">
        <f>B63*E68</f>
        <v>21.390143549599149</v>
      </c>
      <c r="G68" s="22"/>
      <c r="H68" s="22"/>
      <c r="I68" s="22"/>
      <c r="J68" s="22"/>
      <c r="K68" s="22"/>
      <c r="L68" s="22"/>
      <c r="M68" s="22"/>
    </row>
    <row r="69">
      <c r="A69" s="26">
        <v>3</v>
      </c>
      <c r="B69" s="26">
        <v>28</v>
      </c>
      <c r="C69" s="38">
        <f>A69*B69</f>
        <v>84</v>
      </c>
      <c r="D69" s="60">
        <f>B69/B63</f>
        <v>0.14000000000000001</v>
      </c>
      <c r="E69" s="60">
        <f>POISSON(A69,B64,FALSE())</f>
        <v>0.16363459815443346</v>
      </c>
      <c r="F69" s="40">
        <f>B63*E69</f>
        <v>32.726919630886691</v>
      </c>
      <c r="G69" s="22"/>
      <c r="H69" s="22"/>
      <c r="I69" s="22"/>
      <c r="J69" s="22"/>
      <c r="K69" s="22"/>
      <c r="L69" s="22"/>
      <c r="M69" s="22"/>
    </row>
    <row r="70">
      <c r="A70" s="26">
        <v>4</v>
      </c>
      <c r="B70" s="26">
        <v>35</v>
      </c>
      <c r="C70" s="38">
        <f>A70*B70</f>
        <v>140</v>
      </c>
      <c r="D70" s="60">
        <f>B70/B63</f>
        <v>0.17499999999999999</v>
      </c>
      <c r="E70" s="60">
        <f>POISSON(A70,B64,FALSE())</f>
        <v>0.18777070138221238</v>
      </c>
      <c r="F70" s="40">
        <f>B63*E70</f>
        <v>37.554140276442475</v>
      </c>
      <c r="G70" s="22"/>
      <c r="H70" s="22"/>
      <c r="I70" s="22"/>
      <c r="J70" s="22"/>
      <c r="K70" s="22"/>
      <c r="L70" s="22"/>
      <c r="M70" s="22"/>
    </row>
    <row r="71">
      <c r="A71" s="26">
        <v>5</v>
      </c>
      <c r="B71" s="26">
        <v>42</v>
      </c>
      <c r="C71" s="38">
        <f>A71*B71</f>
        <v>210</v>
      </c>
      <c r="D71" s="60">
        <f>B71/B63</f>
        <v>0.20999999999999999</v>
      </c>
      <c r="E71" s="60">
        <f>POISSON(A71,B64,FALSE())</f>
        <v>0.17237350386887096</v>
      </c>
      <c r="F71" s="40">
        <f>B63*E71</f>
        <v>34.474700773774188</v>
      </c>
      <c r="G71" s="22"/>
      <c r="H71" s="22"/>
      <c r="I71" s="22"/>
      <c r="J71" s="22"/>
      <c r="K71" s="22"/>
      <c r="L71" s="22"/>
      <c r="M71" s="22"/>
    </row>
    <row r="72">
      <c r="A72" s="26">
        <v>6</v>
      </c>
      <c r="B72" s="26">
        <v>36</v>
      </c>
      <c r="C72" s="38">
        <f>A72*B72</f>
        <v>216</v>
      </c>
      <c r="D72" s="60">
        <f>B72/B63</f>
        <v>0.17999999999999999</v>
      </c>
      <c r="E72" s="60">
        <f>POISSON(A72,B64,FALSE())</f>
        <v>0.13186573045968628</v>
      </c>
      <c r="F72" s="40">
        <f>B63*E72</f>
        <v>26.373146091937254</v>
      </c>
      <c r="G72" s="22"/>
      <c r="H72" s="22"/>
      <c r="I72" s="22"/>
      <c r="J72" s="22"/>
      <c r="K72" s="22"/>
      <c r="L72" s="22"/>
      <c r="M72" s="22"/>
    </row>
    <row r="73">
      <c r="A73" s="26">
        <v>7</v>
      </c>
      <c r="B73" s="26">
        <v>22</v>
      </c>
      <c r="C73" s="38">
        <f>A73*B73</f>
        <v>154</v>
      </c>
      <c r="D73" s="60">
        <f>B73/B63</f>
        <v>0.11</v>
      </c>
      <c r="E73" s="60">
        <f>POISSON(A73,B64,FALSE())</f>
        <v>8.6466243258565723e-02</v>
      </c>
      <c r="F73" s="40">
        <f>B63*E73</f>
        <v>17.293248651713146</v>
      </c>
      <c r="G73" s="22"/>
      <c r="H73" s="22"/>
      <c r="I73" s="22"/>
      <c r="J73" s="22"/>
      <c r="K73" s="22"/>
      <c r="L73" s="22"/>
      <c r="M73" s="22"/>
    </row>
    <row r="74">
      <c r="A74" s="26">
        <v>8</v>
      </c>
      <c r="B74" s="26">
        <v>7</v>
      </c>
      <c r="C74" s="38">
        <f>A74*B74</f>
        <v>56</v>
      </c>
      <c r="D74" s="60">
        <f>B74/B63</f>
        <v>3.5000000000000003e-02</v>
      </c>
      <c r="E74" s="60">
        <f>POISSON(A74,B64,FALSE())</f>
        <v>4.9610007069602072e-02</v>
      </c>
      <c r="F74" s="40">
        <f>B63*E74</f>
        <v>9.9220014139204142</v>
      </c>
      <c r="G74" s="22"/>
      <c r="H74" s="22"/>
      <c r="I74" s="22"/>
      <c r="J74" s="22"/>
      <c r="K74" s="22"/>
      <c r="L74" s="22"/>
      <c r="M74" s="22"/>
    </row>
    <row r="75">
      <c r="A75" s="26">
        <v>9</v>
      </c>
      <c r="B75" s="26">
        <v>2</v>
      </c>
      <c r="C75" s="38">
        <f>A75*B75</f>
        <v>18</v>
      </c>
      <c r="D75" s="60">
        <f>B75/B63</f>
        <v>1.e-02</v>
      </c>
      <c r="E75" s="60">
        <f>POISSON(A75,B64,FALSE())</f>
        <v>2.5301103605497057e-02</v>
      </c>
      <c r="F75" s="40">
        <f>B63*E75</f>
        <v>5.0602207210994115</v>
      </c>
      <c r="G75" s="22"/>
      <c r="H75" s="22"/>
      <c r="I75" s="22"/>
      <c r="J75" s="22"/>
      <c r="K75" s="22"/>
      <c r="L75" s="22"/>
      <c r="M75" s="22"/>
    </row>
    <row r="76">
      <c r="A76" s="30" t="s">
        <v>105</v>
      </c>
      <c r="B76" s="38">
        <f>SUM(B66:B75)</f>
        <v>200</v>
      </c>
      <c r="C76" s="38">
        <f>SUM(C66:C75)</f>
        <v>918</v>
      </c>
      <c r="D76" s="60">
        <f>SUM(D66:D75)</f>
        <v>1</v>
      </c>
      <c r="E76" s="60">
        <f>SUM(E66:E75)</f>
        <v>0.98072708385400065</v>
      </c>
      <c r="F76" s="40">
        <f>SUM(F66:F75)</f>
        <v>196.14541677080013</v>
      </c>
      <c r="G76" s="22"/>
      <c r="H76" s="22"/>
      <c r="I76" s="22"/>
      <c r="J76" s="22"/>
      <c r="K76" s="22"/>
      <c r="L76" s="22"/>
      <c r="M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>
      <c r="A79" s="23" t="s">
        <v>183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2"/>
    </row>
    <row r="80">
      <c r="A80" s="30" t="s">
        <v>164</v>
      </c>
      <c r="B80" s="38">
        <f>B91</f>
        <v>320</v>
      </c>
      <c r="C80" s="37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30" t="s">
        <v>179</v>
      </c>
      <c r="B81" s="59">
        <f>C91/B91</f>
        <v>2.453125</v>
      </c>
      <c r="C81" s="45"/>
      <c r="D81" s="41"/>
      <c r="E81" s="41"/>
      <c r="F81" s="41"/>
      <c r="G81" s="22"/>
      <c r="H81" s="22"/>
      <c r="I81" s="22"/>
      <c r="J81" s="22"/>
      <c r="K81" s="22"/>
      <c r="L81" s="22"/>
      <c r="M81" s="22"/>
    </row>
    <row r="82">
      <c r="A82" s="54" t="s">
        <v>132</v>
      </c>
      <c r="B82" s="54" t="s">
        <v>133</v>
      </c>
      <c r="C82" s="54" t="s">
        <v>167</v>
      </c>
      <c r="D82" s="54" t="s">
        <v>136</v>
      </c>
      <c r="E82" s="54" t="s">
        <v>168</v>
      </c>
      <c r="F82" s="54" t="s">
        <v>180</v>
      </c>
      <c r="G82" s="22"/>
      <c r="H82" s="22"/>
      <c r="I82" s="22"/>
      <c r="J82" s="22"/>
      <c r="K82" s="22"/>
      <c r="L82" s="22"/>
      <c r="M82" s="22"/>
    </row>
    <row r="83">
      <c r="A83" s="26">
        <v>0</v>
      </c>
      <c r="B83" s="26">
        <v>28</v>
      </c>
      <c r="C83" s="38">
        <f>A83*B83</f>
        <v>0</v>
      </c>
      <c r="D83" s="60">
        <f>B83/B80</f>
        <v>8.7499999999999994e-02</v>
      </c>
      <c r="E83" s="60">
        <f>POISSON(A83,B81,FALSE())</f>
        <v>8.602433995839362e-02</v>
      </c>
      <c r="F83" s="40">
        <f>B80*E83</f>
        <v>27.52778878668596</v>
      </c>
      <c r="G83" s="22"/>
      <c r="H83" s="22"/>
      <c r="I83" s="22"/>
      <c r="J83" s="22"/>
      <c r="K83" s="22"/>
      <c r="L83" s="22"/>
      <c r="M83" s="22"/>
    </row>
    <row r="84">
      <c r="A84" s="26">
        <v>1</v>
      </c>
      <c r="B84" s="26">
        <v>62</v>
      </c>
      <c r="C84" s="38">
        <f>A84*B84</f>
        <v>62</v>
      </c>
      <c r="D84" s="60">
        <f>B84/B80</f>
        <v>0.19375000000000001</v>
      </c>
      <c r="E84" s="60">
        <f>POISSON(A84,B81,FALSE())</f>
        <v>0.21102845896043435</v>
      </c>
      <c r="F84" s="40">
        <f>B80*E84</f>
        <v>67.529106867338996</v>
      </c>
      <c r="G84" s="22"/>
      <c r="H84" s="22"/>
      <c r="I84" s="22"/>
      <c r="J84" s="22"/>
      <c r="K84" s="22"/>
      <c r="L84" s="22"/>
      <c r="M84" s="22"/>
    </row>
    <row r="85">
      <c r="A85" s="26">
        <v>2</v>
      </c>
      <c r="B85" s="26">
        <v>84</v>
      </c>
      <c r="C85" s="38">
        <f>A85*B85</f>
        <v>168</v>
      </c>
      <c r="D85" s="60">
        <f>B85/B80</f>
        <v>0.26250000000000001</v>
      </c>
      <c r="E85" s="60">
        <f>POISSON(A85,B81,FALSE())</f>
        <v>0.25883959419365776</v>
      </c>
      <c r="F85" s="40">
        <f>B80*E85</f>
        <v>82.828670141970491</v>
      </c>
      <c r="G85" s="22"/>
      <c r="H85" s="22"/>
      <c r="I85" s="22"/>
      <c r="J85" s="22"/>
      <c r="K85" s="22"/>
      <c r="L85" s="22"/>
      <c r="M85" s="22"/>
    </row>
    <row r="86">
      <c r="A86" s="26">
        <v>3</v>
      </c>
      <c r="B86" s="26">
        <v>71</v>
      </c>
      <c r="C86" s="38">
        <f>A86*B86</f>
        <v>213</v>
      </c>
      <c r="D86" s="60">
        <f>B86/B80</f>
        <v>0.22187499999999999</v>
      </c>
      <c r="E86" s="60">
        <f>POISSON(A86,B81,FALSE())</f>
        <v>0.21165529316877221</v>
      </c>
      <c r="F86" s="40">
        <f>B80*E86</f>
        <v>67.729693814007106</v>
      </c>
      <c r="G86" s="22"/>
      <c r="H86" s="22"/>
      <c r="I86" s="22"/>
      <c r="J86" s="22"/>
      <c r="K86" s="22"/>
      <c r="L86" s="22"/>
      <c r="M86" s="22"/>
    </row>
    <row r="87">
      <c r="A87" s="26">
        <v>4</v>
      </c>
      <c r="B87" s="26">
        <v>45</v>
      </c>
      <c r="C87" s="38">
        <f>A87*B87</f>
        <v>180</v>
      </c>
      <c r="D87" s="60">
        <f>B87/B80</f>
        <v>0.140625</v>
      </c>
      <c r="E87" s="60">
        <f>POISSON(A87,B81,FALSE())</f>
        <v>0.12980422276366108</v>
      </c>
      <c r="F87" s="40">
        <f>B80*E87</f>
        <v>41.537351284371546</v>
      </c>
      <c r="G87" s="22"/>
      <c r="H87" s="22"/>
      <c r="I87" s="22"/>
      <c r="J87" s="22"/>
      <c r="K87" s="22"/>
      <c r="L87" s="22"/>
      <c r="M87" s="22"/>
    </row>
    <row r="88">
      <c r="A88" s="26">
        <v>5</v>
      </c>
      <c r="B88" s="26">
        <v>20</v>
      </c>
      <c r="C88" s="38">
        <f>A88*B88</f>
        <v>100</v>
      </c>
      <c r="D88" s="60">
        <f>B88/B80</f>
        <v>6.25e-02</v>
      </c>
      <c r="E88" s="60">
        <f>POISSON(A88,B81,FALSE())</f>
        <v>6.3685196793421231e-02</v>
      </c>
      <c r="F88" s="40">
        <f>B80*E88</f>
        <v>20.379262973894793</v>
      </c>
      <c r="G88" s="22"/>
      <c r="H88" s="22"/>
      <c r="I88" s="22"/>
      <c r="J88" s="22"/>
      <c r="K88" s="22"/>
      <c r="L88" s="22"/>
      <c r="M88" s="22"/>
    </row>
    <row r="89">
      <c r="A89" s="26">
        <v>6</v>
      </c>
      <c r="B89" s="26">
        <v>8</v>
      </c>
      <c r="C89" s="38">
        <f>A89*B89</f>
        <v>48</v>
      </c>
      <c r="D89" s="60">
        <f>B89/B80</f>
        <v>2.5000000000000001e-02</v>
      </c>
      <c r="E89" s="60">
        <f>POISSON(A89,B81,FALSE())</f>
        <v>2.6037958063976907e-02</v>
      </c>
      <c r="F89" s="40">
        <f>B80*E89</f>
        <v>8.3321465804726103</v>
      </c>
      <c r="G89" s="22"/>
      <c r="H89" s="22"/>
      <c r="I89" s="22"/>
      <c r="J89" s="22"/>
      <c r="K89" s="22"/>
      <c r="L89" s="22"/>
      <c r="M89" s="22"/>
    </row>
    <row r="90">
      <c r="A90" s="26">
        <v>7</v>
      </c>
      <c r="B90" s="26">
        <v>2</v>
      </c>
      <c r="C90" s="38">
        <f>A90*B90</f>
        <v>14</v>
      </c>
      <c r="D90" s="60">
        <f>B90/B80</f>
        <v>6.2500000000000003e-03</v>
      </c>
      <c r="E90" s="60">
        <f>POISSON(A90,B81,FALSE())</f>
        <v>9.1249094108133352e-03</v>
      </c>
      <c r="F90" s="40">
        <f>B80*E90</f>
        <v>2.9199710114602673</v>
      </c>
      <c r="G90" s="22"/>
      <c r="H90" s="22"/>
      <c r="I90" s="22"/>
      <c r="J90" s="22"/>
      <c r="K90" s="22"/>
      <c r="L90" s="22"/>
      <c r="M90" s="22"/>
    </row>
    <row r="91">
      <c r="A91" s="30" t="s">
        <v>105</v>
      </c>
      <c r="B91" s="38">
        <f>SUM(B83:B90)</f>
        <v>320</v>
      </c>
      <c r="C91" s="38">
        <f>SUM(C83:C90)</f>
        <v>785</v>
      </c>
      <c r="D91" s="60">
        <f>SUM(D83:D90)</f>
        <v>1</v>
      </c>
      <c r="E91" s="60">
        <f>SUM(E83:E90)</f>
        <v>0.99619997331313048</v>
      </c>
      <c r="F91" s="40">
        <f>SUM(F83:F90)</f>
        <v>318.78399146020183</v>
      </c>
      <c r="G91" s="22"/>
      <c r="H91" s="22"/>
      <c r="I91" s="22"/>
      <c r="J91" s="22"/>
      <c r="K91" s="22"/>
      <c r="L91" s="22"/>
      <c r="M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23" t="s">
        <v>184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2"/>
    </row>
    <row r="95">
      <c r="A95" s="30" t="s">
        <v>164</v>
      </c>
      <c r="B95" s="38">
        <f>B109</f>
        <v>430</v>
      </c>
      <c r="C95" s="37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>
      <c r="A96" s="30" t="s">
        <v>179</v>
      </c>
      <c r="B96" s="59">
        <f>C109/B109</f>
        <v>4.1255813953488376</v>
      </c>
      <c r="C96" s="45"/>
      <c r="D96" s="41"/>
      <c r="E96" s="41"/>
      <c r="F96" s="41"/>
      <c r="G96" s="22"/>
      <c r="H96" s="22"/>
      <c r="I96" s="22"/>
      <c r="J96" s="22"/>
      <c r="K96" s="22"/>
      <c r="L96" s="22"/>
      <c r="M96" s="22"/>
    </row>
    <row r="97">
      <c r="A97" s="54" t="s">
        <v>132</v>
      </c>
      <c r="B97" s="54" t="s">
        <v>133</v>
      </c>
      <c r="C97" s="54" t="s">
        <v>167</v>
      </c>
      <c r="D97" s="54" t="s">
        <v>136</v>
      </c>
      <c r="E97" s="54" t="s">
        <v>168</v>
      </c>
      <c r="F97" s="54" t="s">
        <v>180</v>
      </c>
      <c r="G97" s="22"/>
      <c r="H97" s="22"/>
      <c r="I97" s="22"/>
      <c r="J97" s="22"/>
      <c r="K97" s="22"/>
      <c r="L97" s="22"/>
      <c r="M97" s="22"/>
    </row>
    <row r="98">
      <c r="A98" s="26">
        <v>0</v>
      </c>
      <c r="B98" s="26">
        <v>18</v>
      </c>
      <c r="C98" s="38">
        <f>A98*B98</f>
        <v>0</v>
      </c>
      <c r="D98" s="60">
        <f>B98/B95</f>
        <v>4.1860465116279069e-02</v>
      </c>
      <c r="E98" s="60">
        <f>POISSON(A98,B96,FALSE())</f>
        <v>1.615409993885869e-02</v>
      </c>
      <c r="F98" s="40">
        <f>B95*E98</f>
        <v>6.9462629737092367</v>
      </c>
      <c r="G98" s="22"/>
      <c r="H98" s="22"/>
      <c r="I98" s="22"/>
      <c r="J98" s="22"/>
      <c r="K98" s="22"/>
      <c r="L98" s="22"/>
      <c r="M98" s="22"/>
    </row>
    <row r="99">
      <c r="A99" s="26">
        <v>1</v>
      </c>
      <c r="B99" s="26">
        <v>32</v>
      </c>
      <c r="C99" s="38">
        <f>A99*B99</f>
        <v>32</v>
      </c>
      <c r="D99" s="60">
        <f>B99/B95</f>
        <v>7.441860465116279e-02</v>
      </c>
      <c r="E99" s="60">
        <f>POISSON(A99,B96,FALSE())</f>
        <v>6.6645054166361212e-02</v>
      </c>
      <c r="F99" s="40">
        <f>B95*E99</f>
        <v>28.657373291535322</v>
      </c>
      <c r="G99" s="22"/>
      <c r="H99" s="22"/>
      <c r="I99" s="22"/>
      <c r="J99" s="22"/>
      <c r="K99" s="22"/>
      <c r="L99" s="22"/>
      <c r="M99" s="22"/>
    </row>
    <row r="100">
      <c r="A100" s="26">
        <v>2</v>
      </c>
      <c r="B100" s="26">
        <v>48</v>
      </c>
      <c r="C100" s="38">
        <f>A100*B100</f>
        <v>96</v>
      </c>
      <c r="D100" s="60">
        <f>B100/B95</f>
        <v>0.11162790697674418</v>
      </c>
      <c r="E100" s="60">
        <f>POISSON(A100,B96,FALSE())</f>
        <v>0.13747479778037766</v>
      </c>
      <c r="F100" s="40">
        <f>B95*E100</f>
        <v>59.114163045562393</v>
      </c>
      <c r="G100" s="22"/>
      <c r="H100" s="22"/>
      <c r="I100" s="22"/>
      <c r="J100" s="22"/>
      <c r="K100" s="22"/>
      <c r="L100" s="22"/>
      <c r="M100" s="22"/>
    </row>
    <row r="101">
      <c r="A101" s="26">
        <v>3</v>
      </c>
      <c r="B101" s="26">
        <v>75</v>
      </c>
      <c r="C101" s="38">
        <f>A101*B101</f>
        <v>225</v>
      </c>
      <c r="D101" s="60">
        <f>B101/B95</f>
        <v>0.1744186046511628</v>
      </c>
      <c r="E101" s="60">
        <f>POISSON(A101,B96,FALSE())</f>
        <v>0.18905448935068991</v>
      </c>
      <c r="F101" s="40">
        <f>B95*E101</f>
        <v>81.293430420796668</v>
      </c>
      <c r="G101" s="22"/>
      <c r="H101" s="22"/>
      <c r="I101" s="22"/>
      <c r="J101" s="22"/>
      <c r="K101" s="22"/>
      <c r="L101" s="22"/>
      <c r="M101" s="22"/>
    </row>
    <row r="102">
      <c r="A102" s="26">
        <v>4</v>
      </c>
      <c r="B102" s="26">
        <v>82</v>
      </c>
      <c r="C102" s="38">
        <f>A102*B102</f>
        <v>328</v>
      </c>
      <c r="D102" s="60">
        <f>B102/B95</f>
        <v>0.19069767441860466</v>
      </c>
      <c r="E102" s="60">
        <f>POISSON(A102,B96,FALSE())</f>
        <v>0.19498992099309528</v>
      </c>
      <c r="F102" s="40">
        <f>B95*E102</f>
        <v>83.845666027030973</v>
      </c>
      <c r="G102" s="22"/>
      <c r="H102" s="22"/>
      <c r="I102" s="22"/>
      <c r="J102" s="22"/>
      <c r="K102" s="22"/>
      <c r="L102" s="22"/>
      <c r="M102" s="22"/>
    </row>
    <row r="103">
      <c r="A103" s="26">
        <v>5</v>
      </c>
      <c r="B103" s="26">
        <v>65</v>
      </c>
      <c r="C103" s="38">
        <f>A103*B103</f>
        <v>325</v>
      </c>
      <c r="D103" s="60">
        <f>B103/B95</f>
        <v>0.15116279069767441</v>
      </c>
      <c r="E103" s="60">
        <f>POISSON(A103,B96,FALSE())</f>
        <v>0.16088935806593072</v>
      </c>
      <c r="F103" s="40">
        <f>B95*E103</f>
        <v>69.182423968350207</v>
      </c>
      <c r="G103" s="22"/>
      <c r="H103" s="22"/>
      <c r="I103" s="22"/>
      <c r="J103" s="22"/>
      <c r="K103" s="22"/>
      <c r="L103" s="22"/>
      <c r="M103" s="22"/>
    </row>
    <row r="104">
      <c r="A104" s="26">
        <v>6</v>
      </c>
      <c r="B104" s="26">
        <v>48</v>
      </c>
      <c r="C104" s="38">
        <f>A104*B104</f>
        <v>288</v>
      </c>
      <c r="D104" s="60">
        <f>B104/B95</f>
        <v>0.11162790697674418</v>
      </c>
      <c r="E104" s="60">
        <f>POISSON(A104,B96,FALSE())</f>
        <v>0.11062702372440353</v>
      </c>
      <c r="F104" s="40">
        <f>B95*E104</f>
        <v>47.569620201493514</v>
      </c>
      <c r="G104" s="22"/>
      <c r="H104" s="22"/>
      <c r="I104" s="22"/>
      <c r="J104" s="22"/>
      <c r="K104" s="22"/>
      <c r="L104" s="22"/>
      <c r="M104" s="22"/>
    </row>
    <row r="105">
      <c r="A105" s="26">
        <v>7</v>
      </c>
      <c r="B105" s="26">
        <v>32</v>
      </c>
      <c r="C105" s="38">
        <f>A105*B105</f>
        <v>224</v>
      </c>
      <c r="D105" s="60">
        <f>B105/B95</f>
        <v>7.441860465116279e-02</v>
      </c>
      <c r="E105" s="60">
        <f>POISSON(A105,B96,FALSE())</f>
        <v>6.5200112985744824e-02</v>
      </c>
      <c r="F105" s="40">
        <f>B95*E105</f>
        <v>28.036048583870276</v>
      </c>
      <c r="G105" s="22"/>
      <c r="H105" s="22"/>
      <c r="I105" s="22"/>
      <c r="J105" s="22"/>
      <c r="K105" s="22"/>
      <c r="L105" s="22"/>
      <c r="M105" s="22"/>
    </row>
    <row r="106">
      <c r="A106" s="26">
        <v>8</v>
      </c>
      <c r="B106" s="26">
        <v>18</v>
      </c>
      <c r="C106" s="38">
        <f>A106*B106</f>
        <v>144</v>
      </c>
      <c r="D106" s="60">
        <f>B106/B95</f>
        <v>4.1860465116279069e-02</v>
      </c>
      <c r="E106" s="60">
        <f>POISSON(A106,B96,FALSE())</f>
        <v>3.3623546638578868e-02</v>
      </c>
      <c r="F106" s="40">
        <f>B95*E106</f>
        <v>14.458125054588914</v>
      </c>
      <c r="G106" s="22"/>
      <c r="H106" s="22"/>
      <c r="I106" s="22"/>
      <c r="J106" s="22"/>
      <c r="K106" s="22"/>
      <c r="L106" s="22"/>
      <c r="M106" s="22"/>
    </row>
    <row r="107">
      <c r="A107" s="26">
        <v>9</v>
      </c>
      <c r="B107" s="26">
        <v>8</v>
      </c>
      <c r="C107" s="38">
        <f>A107*B107</f>
        <v>72</v>
      </c>
      <c r="D107" s="60">
        <f>B107/B95</f>
        <v>1.8604651162790697e-02</v>
      </c>
      <c r="E107" s="60">
        <f>POISSON(A107,B96,FALSE())</f>
        <v>1.5412964273084992e-02</v>
      </c>
      <c r="F107" s="40">
        <f>B95*E107</f>
        <v>6.6275746374265463</v>
      </c>
      <c r="G107" s="22"/>
      <c r="H107" s="22"/>
      <c r="I107" s="22"/>
      <c r="J107" s="22"/>
      <c r="K107" s="22"/>
      <c r="L107" s="22"/>
      <c r="M107" s="22"/>
    </row>
    <row r="108">
      <c r="A108" s="26">
        <v>10</v>
      </c>
      <c r="B108" s="26">
        <v>4</v>
      </c>
      <c r="C108" s="38">
        <f>A108*B108</f>
        <v>40</v>
      </c>
      <c r="D108" s="60">
        <f>B108/B95</f>
        <v>9.3023255813953487e-03</v>
      </c>
      <c r="E108" s="60">
        <f>POISSON(A108,B96,FALSE())</f>
        <v>6.3587438652215758e-03</v>
      </c>
      <c r="F108" s="40">
        <f>B95*E108</f>
        <v>2.7342598620452776</v>
      </c>
      <c r="G108" s="22"/>
      <c r="H108" s="22"/>
      <c r="I108" s="22"/>
      <c r="J108" s="22"/>
      <c r="K108" s="22"/>
      <c r="L108" s="22"/>
      <c r="M108" s="22"/>
    </row>
    <row r="109">
      <c r="A109" s="30" t="s">
        <v>105</v>
      </c>
      <c r="B109" s="38">
        <f>SUM(B98:B108)</f>
        <v>430</v>
      </c>
      <c r="C109" s="38">
        <f>SUM(C98:C108)</f>
        <v>1774</v>
      </c>
      <c r="D109" s="60">
        <f>SUM(D98:D108)</f>
        <v>1</v>
      </c>
      <c r="E109" s="60">
        <f>SUM(E98:E108)</f>
        <v>0.99643011178234731</v>
      </c>
      <c r="F109" s="40">
        <f>SUM(F98:F108)</f>
        <v>428.46494806640936</v>
      </c>
      <c r="G109" s="22"/>
      <c r="H109" s="22"/>
      <c r="I109" s="22"/>
      <c r="J109" s="22"/>
      <c r="K109" s="22"/>
      <c r="L109" s="22"/>
      <c r="M109" s="22"/>
    </row>
  </sheetData>
  <mergeCells count="9">
    <mergeCell ref="A1:M1"/>
    <mergeCell ref="A3:L3"/>
    <mergeCell ref="A10:G10"/>
    <mergeCell ref="A22:D22"/>
    <mergeCell ref="A30:L30"/>
    <mergeCell ref="A45:L45"/>
    <mergeCell ref="A62:L62"/>
    <mergeCell ref="A79:L79"/>
    <mergeCell ref="A94:L9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4" t="s">
        <v>185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>
      <c r="A3" s="23" t="s">
        <v>186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>
      <c r="A4" s="30" t="s">
        <v>187</v>
      </c>
      <c r="B4" s="62">
        <f>F18/D18</f>
        <v>70.912499999999994</v>
      </c>
      <c r="C4" s="37"/>
      <c r="D4" s="22"/>
      <c r="E4" s="22"/>
      <c r="F4" s="22"/>
      <c r="G4" s="22"/>
      <c r="H4" s="22"/>
      <c r="I4" s="22"/>
      <c r="J4" s="22"/>
      <c r="K4" s="22"/>
      <c r="L4" s="22"/>
      <c r="M4" s="22"/>
    </row>
    <row r="5">
      <c r="A5" s="30" t="s">
        <v>188</v>
      </c>
      <c r="B5" s="62">
        <f>G18/D18</f>
        <v>5076.1875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>
      <c r="A6" s="30" t="s">
        <v>189</v>
      </c>
      <c r="B6" s="62">
        <f>B5-(B4)^2</f>
        <v>47.604843750001237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>
      <c r="A7" s="30" t="s">
        <v>190</v>
      </c>
      <c r="B7" s="62">
        <f>SQRT(B6)</f>
        <v>6.8996263485786846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>
      <c r="A8" s="50"/>
      <c r="B8" s="50"/>
      <c r="C8" s="41"/>
      <c r="D8" s="41"/>
      <c r="E8" s="41"/>
      <c r="F8" s="41"/>
      <c r="G8" s="41"/>
      <c r="H8" s="41"/>
      <c r="I8" s="41"/>
      <c r="J8" s="41"/>
      <c r="K8" s="41"/>
      <c r="L8" s="22"/>
      <c r="M8" s="22"/>
    </row>
    <row r="9">
      <c r="A9" s="24" t="s">
        <v>191</v>
      </c>
      <c r="B9" s="24" t="s">
        <v>192</v>
      </c>
      <c r="C9" s="24" t="s">
        <v>193</v>
      </c>
      <c r="D9" s="24" t="s">
        <v>194</v>
      </c>
      <c r="E9" s="24" t="s">
        <v>195</v>
      </c>
      <c r="F9" s="24" t="s">
        <v>196</v>
      </c>
      <c r="G9" s="24" t="s">
        <v>197</v>
      </c>
      <c r="H9" s="24" t="s">
        <v>198</v>
      </c>
      <c r="I9" s="24" t="s">
        <v>199</v>
      </c>
      <c r="J9" s="24" t="s">
        <v>200</v>
      </c>
      <c r="K9" s="24" t="s">
        <v>136</v>
      </c>
      <c r="L9" s="22"/>
      <c r="M9" s="22"/>
    </row>
    <row r="10">
      <c r="A10" s="26" t="s">
        <v>48</v>
      </c>
      <c r="B10" s="26">
        <v>50</v>
      </c>
      <c r="C10" s="26">
        <v>55</v>
      </c>
      <c r="D10" s="26">
        <v>12</v>
      </c>
      <c r="E10" s="63">
        <f>(B10+C10)/2</f>
        <v>52.5</v>
      </c>
      <c r="F10" s="40">
        <f>D10*E10</f>
        <v>630</v>
      </c>
      <c r="G10" s="40">
        <f>D10*E10*E10</f>
        <v>33075</v>
      </c>
      <c r="H10" s="60">
        <f>NORMDIST(B10,B4,B7,TRUE())</f>
        <v>1.218882716200013e-03</v>
      </c>
      <c r="I10" s="60">
        <f>NORMDIST(C10,B4,B7,TRUE())</f>
        <v>1.0547375601239261e-02</v>
      </c>
      <c r="J10" s="60">
        <f>I10-H10</f>
        <v>9.3284928850392475e-03</v>
      </c>
      <c r="K10" s="60">
        <f>D10/D18</f>
        <v>1.4999999999999999e-02</v>
      </c>
      <c r="L10" s="22"/>
      <c r="M10" s="22"/>
    </row>
    <row r="11">
      <c r="A11" s="26" t="s">
        <v>49</v>
      </c>
      <c r="B11" s="26">
        <v>55</v>
      </c>
      <c r="C11" s="26">
        <v>60</v>
      </c>
      <c r="D11" s="26">
        <v>38</v>
      </c>
      <c r="E11" s="63">
        <f>(B11+C11)/2</f>
        <v>57.5</v>
      </c>
      <c r="F11" s="40">
        <f>D11*E11</f>
        <v>2185</v>
      </c>
      <c r="G11" s="40">
        <f>D11*E11*E11</f>
        <v>125637.5</v>
      </c>
      <c r="H11" s="60">
        <f>NORMDIST(B11,B4,B7,TRUE())</f>
        <v>1.0547375601239261e-02</v>
      </c>
      <c r="I11" s="60">
        <f>NORMDIST(C11,B4,B7,TRUE())</f>
        <v>5.6869613316981198e-02</v>
      </c>
      <c r="J11" s="60">
        <f>I11-H11</f>
        <v>4.632223771574194e-02</v>
      </c>
      <c r="K11" s="60">
        <f>D11/D18</f>
        <v>4.7500000000000001e-02</v>
      </c>
      <c r="L11" s="22"/>
      <c r="M11" s="22"/>
    </row>
    <row r="12">
      <c r="A12" s="26" t="s">
        <v>50</v>
      </c>
      <c r="B12" s="26">
        <v>60</v>
      </c>
      <c r="C12" s="26">
        <v>65</v>
      </c>
      <c r="D12" s="26">
        <v>95</v>
      </c>
      <c r="E12" s="63">
        <f>(B12+C12)/2</f>
        <v>62.5</v>
      </c>
      <c r="F12" s="40">
        <f>D12*E12</f>
        <v>5937.5</v>
      </c>
      <c r="G12" s="40">
        <f>D12*E12*E12</f>
        <v>371093.75</v>
      </c>
      <c r="H12" s="60">
        <f>NORMDIST(B12,B4,B7,TRUE())</f>
        <v>5.6869613316981198e-02</v>
      </c>
      <c r="I12" s="60">
        <f>NORMDIST(C12,B4,B7,TRUE())</f>
        <v>0.19574165803114735</v>
      </c>
      <c r="J12" s="60">
        <f>I12-H12</f>
        <v>0.13887204471416614</v>
      </c>
      <c r="K12" s="60">
        <f>D12/D18</f>
        <v>0.11874999999999999</v>
      </c>
      <c r="L12" s="22"/>
      <c r="M12" s="22"/>
    </row>
    <row r="13">
      <c r="A13" s="26" t="s">
        <v>51</v>
      </c>
      <c r="B13" s="26">
        <v>65</v>
      </c>
      <c r="C13" s="26">
        <v>70</v>
      </c>
      <c r="D13" s="26">
        <v>198</v>
      </c>
      <c r="E13" s="63">
        <f>(B13+C13)/2</f>
        <v>67.5</v>
      </c>
      <c r="F13" s="40">
        <f>D13*E13</f>
        <v>13365</v>
      </c>
      <c r="G13" s="40">
        <f>D13*E13*E13</f>
        <v>902137.5</v>
      </c>
      <c r="H13" s="60">
        <f>NORMDIST(B13,B4,B7,TRUE())</f>
        <v>0.19574165803114735</v>
      </c>
      <c r="I13" s="60">
        <f>NORMDIST(C13,B4,B7,TRUE())</f>
        <v>0.44739187763177279</v>
      </c>
      <c r="J13" s="60">
        <f>I13-H13</f>
        <v>0.25165021960062545</v>
      </c>
      <c r="K13" s="60">
        <f>D13/D18</f>
        <v>0.2475</v>
      </c>
      <c r="L13" s="22"/>
      <c r="M13" s="22"/>
    </row>
    <row r="14">
      <c r="A14" s="26" t="s">
        <v>52</v>
      </c>
      <c r="B14" s="26">
        <v>70</v>
      </c>
      <c r="C14" s="26">
        <v>75</v>
      </c>
      <c r="D14" s="26">
        <v>245</v>
      </c>
      <c r="E14" s="63">
        <f>(B14+C14)/2</f>
        <v>72.5</v>
      </c>
      <c r="F14" s="40">
        <f>D14*E14</f>
        <v>17762.5</v>
      </c>
      <c r="G14" s="40">
        <f>D14*E14*E14</f>
        <v>1287781.25</v>
      </c>
      <c r="H14" s="60">
        <f>NORMDIST(B14,B4,B7,TRUE())</f>
        <v>0.44739187763177279</v>
      </c>
      <c r="I14" s="60">
        <f>NORMDIST(C14,B4,B7,TRUE())</f>
        <v>0.72321644478210045</v>
      </c>
      <c r="J14" s="60">
        <f>I14-H14</f>
        <v>0.27582456715032766</v>
      </c>
      <c r="K14" s="60">
        <f>D14/D18</f>
        <v>0.30625000000000002</v>
      </c>
      <c r="L14" s="22"/>
      <c r="M14" s="22"/>
    </row>
    <row r="15">
      <c r="A15" s="26" t="s">
        <v>23</v>
      </c>
      <c r="B15" s="26">
        <v>75</v>
      </c>
      <c r="C15" s="26">
        <v>80</v>
      </c>
      <c r="D15" s="26">
        <v>142</v>
      </c>
      <c r="E15" s="63">
        <f>(B15+C15)/2</f>
        <v>77.5</v>
      </c>
      <c r="F15" s="40">
        <f>D15*E15</f>
        <v>11005</v>
      </c>
      <c r="G15" s="40">
        <f>D15*E15*E15</f>
        <v>852887.5</v>
      </c>
      <c r="H15" s="60">
        <f>NORMDIST(B15,B4,B7,TRUE())</f>
        <v>0.72321644478210045</v>
      </c>
      <c r="I15" s="60">
        <f>NORMDIST(C15,B4,B7,TRUE())</f>
        <v>0.90609749836743547</v>
      </c>
      <c r="J15" s="60">
        <f>I15-H15</f>
        <v>0.18288105358533502</v>
      </c>
      <c r="K15" s="60">
        <f>D15/D18</f>
        <v>0.17749999999999999</v>
      </c>
      <c r="L15" s="22"/>
      <c r="M15" s="22"/>
    </row>
    <row r="16">
      <c r="A16" s="26" t="s">
        <v>53</v>
      </c>
      <c r="B16" s="26">
        <v>80</v>
      </c>
      <c r="C16" s="26">
        <v>85</v>
      </c>
      <c r="D16" s="26">
        <v>56</v>
      </c>
      <c r="E16" s="63">
        <f>(B16+C16)/2</f>
        <v>82.5</v>
      </c>
      <c r="F16" s="40">
        <f>D16*E16</f>
        <v>4620</v>
      </c>
      <c r="G16" s="40">
        <f>D16*E16*E16</f>
        <v>381150</v>
      </c>
      <c r="H16" s="60">
        <f>NORMDIST(B16,B4,B7,TRUE())</f>
        <v>0.90609749836743547</v>
      </c>
      <c r="I16" s="60">
        <f>NORMDIST(C16,B4,B7,TRUE())</f>
        <v>0.979413183236026</v>
      </c>
      <c r="J16" s="60">
        <f>I16-H16</f>
        <v>7.3315684868590525e-02</v>
      </c>
      <c r="K16" s="60">
        <f>D16/D18</f>
        <v>7.0000000000000007e-02</v>
      </c>
      <c r="L16" s="22"/>
      <c r="M16" s="22"/>
    </row>
    <row r="17">
      <c r="A17" s="26" t="s">
        <v>54</v>
      </c>
      <c r="B17" s="26">
        <v>85</v>
      </c>
      <c r="C17" s="26">
        <v>90</v>
      </c>
      <c r="D17" s="26">
        <v>14</v>
      </c>
      <c r="E17" s="63">
        <f>(B17+C17)/2</f>
        <v>87.5</v>
      </c>
      <c r="F17" s="40">
        <f>D17*E17</f>
        <v>1225</v>
      </c>
      <c r="G17" s="40">
        <f>D17*E17*E17</f>
        <v>107187.5</v>
      </c>
      <c r="H17" s="60">
        <f>NORMDIST(B17,B4,B7,TRUE())</f>
        <v>0.979413183236026</v>
      </c>
      <c r="I17" s="60">
        <f>NORMDIST(C17,B4,B7,TRUE())</f>
        <v>0.99716652240964399</v>
      </c>
      <c r="J17" s="60">
        <f>I17-H17</f>
        <v>1.7753339173617988e-02</v>
      </c>
      <c r="K17" s="60">
        <f>D17/D18</f>
        <v>1.7500000000000002e-02</v>
      </c>
      <c r="L17" s="22"/>
      <c r="M17" s="22"/>
    </row>
    <row r="18">
      <c r="A18" s="30" t="s">
        <v>26</v>
      </c>
      <c r="B18" s="22"/>
      <c r="C18" s="43"/>
      <c r="D18" s="61">
        <f>SUM(D10:D17)</f>
        <v>800</v>
      </c>
      <c r="E18" s="32"/>
      <c r="F18" s="40">
        <f>SUM(F10:F17)</f>
        <v>56730</v>
      </c>
      <c r="G18" s="40">
        <f>SUM(G10:G17)</f>
        <v>4060950</v>
      </c>
      <c r="H18" s="22"/>
      <c r="I18" s="43"/>
      <c r="J18" s="60">
        <f>SUM(J10:J17)</f>
        <v>0.99594763969344402</v>
      </c>
      <c r="K18" s="60">
        <f>SUM(K10:K17)</f>
        <v>0.99999999999999989</v>
      </c>
      <c r="L18" s="22"/>
      <c r="M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>
      <c r="A21" s="23" t="s">
        <v>201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>
      <c r="A22" s="30" t="s">
        <v>187</v>
      </c>
      <c r="B22" s="62">
        <f>F36/D36</f>
        <v>174.78333333333333</v>
      </c>
      <c r="C22" s="37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>
      <c r="A23" s="30" t="s">
        <v>188</v>
      </c>
      <c r="B23" s="62">
        <f>G36/D36</f>
        <v>30594.166666666668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>
      <c r="A24" s="30" t="s">
        <v>189</v>
      </c>
      <c r="B24" s="62">
        <f>B23-(B22)^2</f>
        <v>44.953055555557512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>
      <c r="A25" s="30" t="s">
        <v>190</v>
      </c>
      <c r="B25" s="62">
        <f>SQRT(B24)</f>
        <v>6.7047039871688225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>
      <c r="A26" s="50"/>
      <c r="B26" s="50"/>
      <c r="C26" s="41"/>
      <c r="D26" s="41"/>
      <c r="E26" s="41"/>
      <c r="F26" s="41"/>
      <c r="G26" s="41"/>
      <c r="H26" s="41"/>
      <c r="I26" s="41"/>
      <c r="J26" s="41"/>
      <c r="K26" s="41"/>
      <c r="L26" s="22"/>
      <c r="M26" s="22"/>
    </row>
    <row r="27">
      <c r="A27" s="24" t="s">
        <v>191</v>
      </c>
      <c r="B27" s="24" t="s">
        <v>192</v>
      </c>
      <c r="C27" s="24" t="s">
        <v>193</v>
      </c>
      <c r="D27" s="24" t="s">
        <v>194</v>
      </c>
      <c r="E27" s="24" t="s">
        <v>195</v>
      </c>
      <c r="F27" s="24" t="s">
        <v>196</v>
      </c>
      <c r="G27" s="24" t="s">
        <v>197</v>
      </c>
      <c r="H27" s="24" t="s">
        <v>198</v>
      </c>
      <c r="I27" s="24" t="s">
        <v>199</v>
      </c>
      <c r="J27" s="24" t="s">
        <v>200</v>
      </c>
      <c r="K27" s="24" t="s">
        <v>136</v>
      </c>
      <c r="L27" s="22"/>
      <c r="M27" s="22"/>
    </row>
    <row r="28">
      <c r="A28" s="26" t="s">
        <v>202</v>
      </c>
      <c r="B28" s="26">
        <v>155</v>
      </c>
      <c r="C28" s="26">
        <v>160</v>
      </c>
      <c r="D28" s="26">
        <v>8</v>
      </c>
      <c r="E28" s="63">
        <f>(B28+C28)/2</f>
        <v>157.5</v>
      </c>
      <c r="F28" s="40">
        <f>D28*E28</f>
        <v>1260</v>
      </c>
      <c r="G28" s="40">
        <f>D28*E28*E28</f>
        <v>198450</v>
      </c>
      <c r="H28" s="60">
        <f>NORMDIST(B28,B22,B25,TRUE())</f>
        <v>1.5854547183038522e-03</v>
      </c>
      <c r="I28" s="60">
        <f>NORMDIST(C28,B22,B25,TRUE())</f>
        <v>1.372986791411324e-02</v>
      </c>
      <c r="J28" s="60">
        <f>I28-H28</f>
        <v>1.2144413195809388e-02</v>
      </c>
      <c r="K28" s="60">
        <f>D28/D36</f>
        <v>1.3333333333333334e-02</v>
      </c>
      <c r="L28" s="22"/>
      <c r="M28" s="22"/>
    </row>
    <row r="29">
      <c r="A29" s="26" t="s">
        <v>203</v>
      </c>
      <c r="B29" s="26">
        <v>160</v>
      </c>
      <c r="C29" s="26">
        <v>165</v>
      </c>
      <c r="D29" s="26">
        <v>32</v>
      </c>
      <c r="E29" s="63">
        <f>(B29+C29)/2</f>
        <v>162.5</v>
      </c>
      <c r="F29" s="40">
        <f>D29*E29</f>
        <v>5200</v>
      </c>
      <c r="G29" s="40">
        <f>D29*E29*E29</f>
        <v>845000</v>
      </c>
      <c r="H29" s="60">
        <f>NORMDIST(B29,B22,B25,TRUE())</f>
        <v>1.372986791411324e-02</v>
      </c>
      <c r="I29" s="60">
        <f>NORMDIST(C29,B22,B25,TRUE())</f>
        <v>7.2258537660962713e-02</v>
      </c>
      <c r="J29" s="60">
        <f>I29-H29</f>
        <v>5.8528669746849477e-02</v>
      </c>
      <c r="K29" s="60">
        <f>D29/D36</f>
        <v>5.3333333333333337e-02</v>
      </c>
      <c r="L29" s="22"/>
      <c r="M29" s="22"/>
    </row>
    <row r="30">
      <c r="A30" s="26" t="s">
        <v>204</v>
      </c>
      <c r="B30" s="26">
        <v>165</v>
      </c>
      <c r="C30" s="26">
        <v>170</v>
      </c>
      <c r="D30" s="26">
        <v>95</v>
      </c>
      <c r="E30" s="63">
        <f>(B30+C30)/2</f>
        <v>167.5</v>
      </c>
      <c r="F30" s="40">
        <f>D30*E30</f>
        <v>15912.5</v>
      </c>
      <c r="G30" s="40">
        <f>D30*E30*E30</f>
        <v>2665343.75</v>
      </c>
      <c r="H30" s="60">
        <f>NORMDIST(B30,B22,B25,TRUE())</f>
        <v>7.2258537660962713e-02</v>
      </c>
      <c r="I30" s="60">
        <f>NORMDIST(C30,B22,B25,TRUE())</f>
        <v>0.23779002488673573</v>
      </c>
      <c r="J30" s="60">
        <f>I30-H30</f>
        <v>0.16553148722577302</v>
      </c>
      <c r="K30" s="60">
        <f>D30/D36</f>
        <v>0.15833333333333333</v>
      </c>
      <c r="L30" s="22"/>
      <c r="M30" s="22"/>
    </row>
    <row r="31">
      <c r="A31" s="26" t="s">
        <v>205</v>
      </c>
      <c r="B31" s="26">
        <v>170</v>
      </c>
      <c r="C31" s="26">
        <v>175</v>
      </c>
      <c r="D31" s="26">
        <v>178</v>
      </c>
      <c r="E31" s="63">
        <f>(B31+C31)/2</f>
        <v>172.5</v>
      </c>
      <c r="F31" s="40">
        <f>D31*E31</f>
        <v>30705</v>
      </c>
      <c r="G31" s="40">
        <f>D31*E31*E31</f>
        <v>5296612.5</v>
      </c>
      <c r="H31" s="60">
        <f>NORMDIST(B31,B22,B25,TRUE())</f>
        <v>0.23779002488673573</v>
      </c>
      <c r="I31" s="60">
        <f>NORMDIST(C31,B22,B25,TRUE())</f>
        <v>0.51288982364813585</v>
      </c>
      <c r="J31" s="60">
        <f>I31-H31</f>
        <v>0.27509979876140012</v>
      </c>
      <c r="K31" s="60">
        <f>D31/D36</f>
        <v>0.29666666666666669</v>
      </c>
      <c r="L31" s="22"/>
      <c r="M31" s="22"/>
    </row>
    <row r="32">
      <c r="A32" s="26" t="s">
        <v>206</v>
      </c>
      <c r="B32" s="26">
        <v>175</v>
      </c>
      <c r="C32" s="26">
        <v>180</v>
      </c>
      <c r="D32" s="26">
        <v>165</v>
      </c>
      <c r="E32" s="63">
        <f>(B32+C32)/2</f>
        <v>177.5</v>
      </c>
      <c r="F32" s="40">
        <f>D32*E32</f>
        <v>29287.5</v>
      </c>
      <c r="G32" s="40">
        <f>D32*E32*E32</f>
        <v>5198531.25</v>
      </c>
      <c r="H32" s="60">
        <f>NORMDIST(B32,B22,B25,TRUE())</f>
        <v>0.51288982364813585</v>
      </c>
      <c r="I32" s="60">
        <f>NORMDIST(C32,B22,B25,TRUE())</f>
        <v>0.78173338466157927</v>
      </c>
      <c r="J32" s="60">
        <f>I32-H32</f>
        <v>0.26884356101344342</v>
      </c>
      <c r="K32" s="60">
        <f>D32/D36</f>
        <v>0.27500000000000002</v>
      </c>
      <c r="L32" s="22"/>
      <c r="M32" s="22"/>
    </row>
    <row r="33">
      <c r="A33" s="26" t="s">
        <v>207</v>
      </c>
      <c r="B33" s="26">
        <v>180</v>
      </c>
      <c r="C33" s="26">
        <v>185</v>
      </c>
      <c r="D33" s="26">
        <v>82</v>
      </c>
      <c r="E33" s="63">
        <f>(B33+C33)/2</f>
        <v>182.5</v>
      </c>
      <c r="F33" s="40">
        <f>D33*E33</f>
        <v>14965</v>
      </c>
      <c r="G33" s="40">
        <f>D33*E33*E33</f>
        <v>2731112.5</v>
      </c>
      <c r="H33" s="60">
        <f>NORMDIST(B33,B22,B25,TRUE())</f>
        <v>0.78173338466157927</v>
      </c>
      <c r="I33" s="60">
        <f>NORMDIST(C33,B22,B25,TRUE())</f>
        <v>0.93622138195080196</v>
      </c>
      <c r="J33" s="60">
        <f>I33-H33</f>
        <v>0.15448799728922269</v>
      </c>
      <c r="K33" s="60">
        <f>D33/D36</f>
        <v>0.13666666666666666</v>
      </c>
      <c r="L33" s="22"/>
      <c r="M33" s="22"/>
    </row>
    <row r="34">
      <c r="A34" s="26" t="s">
        <v>208</v>
      </c>
      <c r="B34" s="26">
        <v>185</v>
      </c>
      <c r="C34" s="26">
        <v>190</v>
      </c>
      <c r="D34" s="26">
        <v>32</v>
      </c>
      <c r="E34" s="63">
        <f>(B34+C34)/2</f>
        <v>187.5</v>
      </c>
      <c r="F34" s="40">
        <f>D34*E34</f>
        <v>6000</v>
      </c>
      <c r="G34" s="40">
        <f>D34*E34*E34</f>
        <v>1125000</v>
      </c>
      <c r="H34" s="60">
        <f>NORMDIST(B34,B22,B25,TRUE())</f>
        <v>0.93622138195080196</v>
      </c>
      <c r="I34" s="60">
        <f>NORMDIST(C34,B22,B25,TRUE())</f>
        <v>0.98838257583683764</v>
      </c>
      <c r="J34" s="60">
        <f>I34-H34</f>
        <v>5.2161193886035684e-02</v>
      </c>
      <c r="K34" s="60">
        <f>D34/D36</f>
        <v>5.3333333333333337e-02</v>
      </c>
      <c r="L34" s="22"/>
      <c r="M34" s="22"/>
    </row>
    <row r="35">
      <c r="A35" s="26" t="s">
        <v>209</v>
      </c>
      <c r="B35" s="26">
        <v>190</v>
      </c>
      <c r="C35" s="26">
        <v>195</v>
      </c>
      <c r="D35" s="26">
        <v>8</v>
      </c>
      <c r="E35" s="63">
        <f>(B35+C35)/2</f>
        <v>192.5</v>
      </c>
      <c r="F35" s="40">
        <f>D35*E35</f>
        <v>1540</v>
      </c>
      <c r="G35" s="40">
        <f>D35*E35*E35</f>
        <v>296450</v>
      </c>
      <c r="H35" s="60">
        <f>NORMDIST(B35,B22,B25,TRUE())</f>
        <v>0.98838257583683764</v>
      </c>
      <c r="I35" s="60">
        <f>NORMDIST(C35,B22,B25,TRUE())</f>
        <v>0.99871635684235338</v>
      </c>
      <c r="J35" s="60">
        <f>I35-H35</f>
        <v>1.0333781005515741e-02</v>
      </c>
      <c r="K35" s="60">
        <f>D35/D36</f>
        <v>1.3333333333333334e-02</v>
      </c>
      <c r="L35" s="22"/>
      <c r="M35" s="22"/>
    </row>
    <row r="36">
      <c r="A36" s="30" t="s">
        <v>26</v>
      </c>
      <c r="B36" s="22"/>
      <c r="C36" s="43"/>
      <c r="D36" s="61">
        <f>SUM(D28:D35)</f>
        <v>600</v>
      </c>
      <c r="E36" s="32"/>
      <c r="F36" s="40">
        <f>SUM(F28:F35)</f>
        <v>104870</v>
      </c>
      <c r="G36" s="40">
        <f>SUM(G28:G35)</f>
        <v>18356500</v>
      </c>
      <c r="H36" s="22"/>
      <c r="I36" s="43"/>
      <c r="J36" s="60">
        <f>SUM(J28:J35)</f>
        <v>0.99713090212404953</v>
      </c>
      <c r="K36" s="60">
        <f>SUM(K28:K35)</f>
        <v>1</v>
      </c>
      <c r="L36" s="22"/>
      <c r="M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>
      <c r="A39" s="23" t="s">
        <v>210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>
      <c r="A40" s="30" t="s">
        <v>187</v>
      </c>
      <c r="B40" s="62">
        <f>F53/D53</f>
        <v>55.32</v>
      </c>
      <c r="C40" s="37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30" t="s">
        <v>188</v>
      </c>
      <c r="B41" s="62">
        <f>G53/D53</f>
        <v>3225.8000000000002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30" t="s">
        <v>189</v>
      </c>
      <c r="B42" s="62">
        <f>B41-(B40)^2</f>
        <v>165.49760000000015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30" t="s">
        <v>190</v>
      </c>
      <c r="B43" s="62">
        <f>SQRT(B42)</f>
        <v>12.86458705128152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50"/>
      <c r="B44" s="50"/>
      <c r="C44" s="41"/>
      <c r="D44" s="41"/>
      <c r="E44" s="41"/>
      <c r="F44" s="41"/>
      <c r="G44" s="41"/>
      <c r="H44" s="41"/>
      <c r="I44" s="41"/>
      <c r="J44" s="41"/>
      <c r="K44" s="41"/>
      <c r="L44" s="22"/>
      <c r="M44" s="22"/>
    </row>
    <row r="45">
      <c r="A45" s="24" t="s">
        <v>191</v>
      </c>
      <c r="B45" s="24" t="s">
        <v>192</v>
      </c>
      <c r="C45" s="24" t="s">
        <v>193</v>
      </c>
      <c r="D45" s="24" t="s">
        <v>194</v>
      </c>
      <c r="E45" s="24" t="s">
        <v>195</v>
      </c>
      <c r="F45" s="24" t="s">
        <v>196</v>
      </c>
      <c r="G45" s="24" t="s">
        <v>197</v>
      </c>
      <c r="H45" s="24" t="s">
        <v>198</v>
      </c>
      <c r="I45" s="24" t="s">
        <v>199</v>
      </c>
      <c r="J45" s="24" t="s">
        <v>200</v>
      </c>
      <c r="K45" s="24" t="s">
        <v>136</v>
      </c>
      <c r="L45" s="22"/>
      <c r="M45" s="22"/>
    </row>
    <row r="46">
      <c r="A46" s="26" t="s">
        <v>211</v>
      </c>
      <c r="B46" s="26">
        <v>20</v>
      </c>
      <c r="C46" s="26">
        <v>30</v>
      </c>
      <c r="D46" s="26">
        <v>5</v>
      </c>
      <c r="E46" s="63">
        <f>(B46+C46)/2</f>
        <v>25</v>
      </c>
      <c r="F46" s="40">
        <f>D46*E46</f>
        <v>125</v>
      </c>
      <c r="G46" s="40">
        <f>D46*E46*E46</f>
        <v>3125</v>
      </c>
      <c r="H46" s="60">
        <f>NORMDIST(B46,B40,B43,TRUE())</f>
        <v>3.0207406770639939e-03</v>
      </c>
      <c r="I46" s="60">
        <f>NORMDIST(C46,B40,B43,TRUE())</f>
        <v>2.4522873805676856e-02</v>
      </c>
      <c r="J46" s="60">
        <f>I46-H46</f>
        <v>2.1502133128612863e-02</v>
      </c>
      <c r="K46" s="60">
        <f>D46/D53</f>
        <v>2.e-02</v>
      </c>
      <c r="L46" s="22"/>
      <c r="M46" s="22"/>
    </row>
    <row r="47">
      <c r="A47" s="26" t="s">
        <v>38</v>
      </c>
      <c r="B47" s="26">
        <v>30</v>
      </c>
      <c r="C47" s="26">
        <v>40</v>
      </c>
      <c r="D47" s="26">
        <v>22</v>
      </c>
      <c r="E47" s="63">
        <f>(B47+C47)/2</f>
        <v>35</v>
      </c>
      <c r="F47" s="40">
        <f>D47*E47</f>
        <v>770</v>
      </c>
      <c r="G47" s="40">
        <f>D47*E47*E47</f>
        <v>26950</v>
      </c>
      <c r="H47" s="60">
        <f>NORMDIST(B47,B40,B43,TRUE())</f>
        <v>2.4522873805676856e-02</v>
      </c>
      <c r="I47" s="60">
        <f>NORMDIST(C47,B40,B43,TRUE())</f>
        <v>0.11685308662938854</v>
      </c>
      <c r="J47" s="60">
        <f>I47-H47</f>
        <v>9.2330212823711677e-02</v>
      </c>
      <c r="K47" s="60">
        <f>D47/D53</f>
        <v>8.7999999999999995e-02</v>
      </c>
      <c r="L47" s="22"/>
      <c r="M47" s="22"/>
    </row>
    <row r="48">
      <c r="A48" s="26" t="s">
        <v>39</v>
      </c>
      <c r="B48" s="26">
        <v>40</v>
      </c>
      <c r="C48" s="26">
        <v>50</v>
      </c>
      <c r="D48" s="26">
        <v>58</v>
      </c>
      <c r="E48" s="63">
        <f>(B48+C48)/2</f>
        <v>45</v>
      </c>
      <c r="F48" s="40">
        <f>D48*E48</f>
        <v>2610</v>
      </c>
      <c r="G48" s="40">
        <f>D48*E48*E48</f>
        <v>117450</v>
      </c>
      <c r="H48" s="60">
        <f>NORMDIST(B48,B40,B43,TRUE())</f>
        <v>0.11685308662938854</v>
      </c>
      <c r="I48" s="60">
        <f>NORMDIST(C48,B40,B43,TRUE())</f>
        <v>0.33960611842443089</v>
      </c>
      <c r="J48" s="60">
        <f>I48-H48</f>
        <v>0.22275303179504236</v>
      </c>
      <c r="K48" s="60">
        <f>D48/D53</f>
        <v>0.23200000000000001</v>
      </c>
      <c r="L48" s="22"/>
      <c r="M48" s="22"/>
    </row>
    <row r="49">
      <c r="A49" s="26" t="s">
        <v>40</v>
      </c>
      <c r="B49" s="26">
        <v>50</v>
      </c>
      <c r="C49" s="26">
        <v>60</v>
      </c>
      <c r="D49" s="26">
        <v>82</v>
      </c>
      <c r="E49" s="63">
        <f>(B49+C49)/2</f>
        <v>55</v>
      </c>
      <c r="F49" s="40">
        <f>D49*E49</f>
        <v>4510</v>
      </c>
      <c r="G49" s="40">
        <f>D49*E49*E49</f>
        <v>248050</v>
      </c>
      <c r="H49" s="60">
        <f>NORMDIST(B49,B40,B43,TRUE())</f>
        <v>0.33960611842443089</v>
      </c>
      <c r="I49" s="60">
        <f>NORMDIST(C49,B40,B43,TRUE())</f>
        <v>0.64199234891918699</v>
      </c>
      <c r="J49" s="60">
        <f>I49-H49</f>
        <v>0.3023862304947561</v>
      </c>
      <c r="K49" s="60">
        <f>D49/D53</f>
        <v>0.32800000000000001</v>
      </c>
      <c r="L49" s="22"/>
      <c r="M49" s="22"/>
    </row>
    <row r="50">
      <c r="A50" s="26" t="s">
        <v>41</v>
      </c>
      <c r="B50" s="26">
        <v>60</v>
      </c>
      <c r="C50" s="26">
        <v>70</v>
      </c>
      <c r="D50" s="26">
        <v>48</v>
      </c>
      <c r="E50" s="63">
        <f>(B50+C50)/2</f>
        <v>65</v>
      </c>
      <c r="F50" s="40">
        <f>D50*E50</f>
        <v>3120</v>
      </c>
      <c r="G50" s="40">
        <f>D50*E50*E50</f>
        <v>202800</v>
      </c>
      <c r="H50" s="60">
        <f>NORMDIST(B50,B40,B43,TRUE())</f>
        <v>0.64199234891918699</v>
      </c>
      <c r="I50" s="60">
        <f>NORMDIST(C50,B40,B43,TRUE())</f>
        <v>0.8730893975679308</v>
      </c>
      <c r="J50" s="60">
        <f>I50-H50</f>
        <v>0.23109704864874381</v>
      </c>
      <c r="K50" s="60">
        <f>D50/D53</f>
        <v>0.192</v>
      </c>
      <c r="L50" s="22"/>
      <c r="M50" s="22"/>
    </row>
    <row r="51">
      <c r="A51" s="26" t="s">
        <v>42</v>
      </c>
      <c r="B51" s="26">
        <v>70</v>
      </c>
      <c r="C51" s="26">
        <v>80</v>
      </c>
      <c r="D51" s="26">
        <v>28</v>
      </c>
      <c r="E51" s="63">
        <f>(B51+C51)/2</f>
        <v>75</v>
      </c>
      <c r="F51" s="40">
        <f>D51*E51</f>
        <v>2100</v>
      </c>
      <c r="G51" s="40">
        <f>D51*E51*E51</f>
        <v>157500</v>
      </c>
      <c r="H51" s="60">
        <f>NORMDIST(B51,B40,B43,TRUE())</f>
        <v>0.8730893975679308</v>
      </c>
      <c r="I51" s="60">
        <f>NORMDIST(C51,B40,B43,TRUE())</f>
        <v>0.97247268180883173</v>
      </c>
      <c r="J51" s="60">
        <f>I51-H51</f>
        <v>9.9383284240900926e-02</v>
      </c>
      <c r="K51" s="60">
        <f>D51/D53</f>
        <v>0.112</v>
      </c>
      <c r="L51" s="22"/>
      <c r="M51" s="22"/>
    </row>
    <row r="52">
      <c r="A52" s="26" t="s">
        <v>43</v>
      </c>
      <c r="B52" s="26">
        <v>80</v>
      </c>
      <c r="C52" s="26">
        <v>90</v>
      </c>
      <c r="D52" s="26">
        <v>7</v>
      </c>
      <c r="E52" s="63">
        <f>(B52+C52)/2</f>
        <v>85</v>
      </c>
      <c r="F52" s="40">
        <f>D52*E52</f>
        <v>595</v>
      </c>
      <c r="G52" s="40">
        <f>D52*E52*E52</f>
        <v>50575</v>
      </c>
      <c r="H52" s="60">
        <f>NORMDIST(B52,B40,B43,TRUE())</f>
        <v>0.97247268180883173</v>
      </c>
      <c r="I52" s="60">
        <f>NORMDIST(C52,B40,B43,TRUE())</f>
        <v>0.99648871944619166</v>
      </c>
      <c r="J52" s="60">
        <f>I52-H52</f>
        <v>2.4016037637359933e-02</v>
      </c>
      <c r="K52" s="60">
        <f>D52/D53</f>
        <v>2.8000000000000001e-02</v>
      </c>
      <c r="L52" s="22"/>
      <c r="M52" s="22"/>
    </row>
    <row r="53">
      <c r="A53" s="30" t="s">
        <v>26</v>
      </c>
      <c r="B53" s="22"/>
      <c r="C53" s="43"/>
      <c r="D53" s="61">
        <f>SUM(D46:D52)</f>
        <v>250</v>
      </c>
      <c r="E53" s="32"/>
      <c r="F53" s="40">
        <f>SUM(F46:F52)</f>
        <v>13830</v>
      </c>
      <c r="G53" s="40">
        <f>SUM(G46:G52)</f>
        <v>806450</v>
      </c>
      <c r="H53" s="22"/>
      <c r="I53" s="43"/>
      <c r="J53" s="60">
        <f>SUM(J46:J52)</f>
        <v>0.99346797876912774</v>
      </c>
      <c r="K53" s="60">
        <f>SUM(K46:K52)</f>
        <v>1</v>
      </c>
      <c r="L53" s="22"/>
      <c r="M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3" t="s">
        <v>212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>
      <c r="A57" s="30" t="s">
        <v>187</v>
      </c>
      <c r="B57" s="62">
        <f>F69/D69</f>
        <v>228.83333333333334</v>
      </c>
      <c r="C57" s="37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30" t="s">
        <v>188</v>
      </c>
      <c r="B58" s="62">
        <f>G69/D69</f>
        <v>52487.222222222219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30" t="s">
        <v>189</v>
      </c>
      <c r="B59" s="62">
        <f>B58-(B57)^2</f>
        <v>122.52777777777374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30" t="s">
        <v>190</v>
      </c>
      <c r="B60" s="62">
        <f>SQRT(B59)</f>
        <v>11.069226611546705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50"/>
      <c r="B61" s="50"/>
      <c r="C61" s="41"/>
      <c r="D61" s="41"/>
      <c r="E61" s="41"/>
      <c r="F61" s="41"/>
      <c r="G61" s="41"/>
      <c r="H61" s="41"/>
      <c r="I61" s="41"/>
      <c r="J61" s="41"/>
      <c r="K61" s="41"/>
      <c r="L61" s="22"/>
      <c r="M61" s="22"/>
    </row>
    <row r="62">
      <c r="A62" s="24" t="s">
        <v>191</v>
      </c>
      <c r="B62" s="24" t="s">
        <v>192</v>
      </c>
      <c r="C62" s="24" t="s">
        <v>193</v>
      </c>
      <c r="D62" s="24" t="s">
        <v>194</v>
      </c>
      <c r="E62" s="24" t="s">
        <v>195</v>
      </c>
      <c r="F62" s="24" t="s">
        <v>196</v>
      </c>
      <c r="G62" s="24" t="s">
        <v>197</v>
      </c>
      <c r="H62" s="24" t="s">
        <v>198</v>
      </c>
      <c r="I62" s="24" t="s">
        <v>199</v>
      </c>
      <c r="J62" s="24" t="s">
        <v>200</v>
      </c>
      <c r="K62" s="24" t="s">
        <v>136</v>
      </c>
      <c r="L62" s="22"/>
      <c r="M62" s="22"/>
    </row>
    <row r="63">
      <c r="A63" s="26" t="s">
        <v>213</v>
      </c>
      <c r="B63" s="26">
        <v>200</v>
      </c>
      <c r="C63" s="26">
        <v>210</v>
      </c>
      <c r="D63" s="26">
        <v>7</v>
      </c>
      <c r="E63" s="63">
        <f>(B63+C63)/2</f>
        <v>205</v>
      </c>
      <c r="F63" s="40">
        <f>D63*E63</f>
        <v>1435</v>
      </c>
      <c r="G63" s="40">
        <f>D63*E63*E63</f>
        <v>294175</v>
      </c>
      <c r="H63" s="60">
        <f>NORMDIST(B63,B57,B60,TRUE())</f>
        <v>4.5961384364521822e-03</v>
      </c>
      <c r="I63" s="60">
        <f>NORMDIST(C63,B57,B60,TRUE())</f>
        <v>4.4432669261807362e-02</v>
      </c>
      <c r="J63" s="60">
        <f>I63-H63</f>
        <v>3.9836530825355182e-02</v>
      </c>
      <c r="K63" s="60">
        <f>D63/D69</f>
        <v>3.888888888888889e-02</v>
      </c>
      <c r="L63" s="22"/>
      <c r="M63" s="22"/>
    </row>
    <row r="64">
      <c r="A64" s="26" t="s">
        <v>214</v>
      </c>
      <c r="B64" s="26">
        <v>210</v>
      </c>
      <c r="C64" s="26">
        <v>220</v>
      </c>
      <c r="D64" s="26">
        <v>30</v>
      </c>
      <c r="E64" s="63">
        <f>(B64+C64)/2</f>
        <v>215</v>
      </c>
      <c r="F64" s="40">
        <f>D64*E64</f>
        <v>6450</v>
      </c>
      <c r="G64" s="40">
        <f>D64*E64*E64</f>
        <v>1386750</v>
      </c>
      <c r="H64" s="60">
        <f>NORMDIST(B64,B57,B60,TRUE())</f>
        <v>4.4432669261807362e-02</v>
      </c>
      <c r="I64" s="60">
        <f>NORMDIST(C64,B57,B60,TRUE())</f>
        <v>0.212432872880288</v>
      </c>
      <c r="J64" s="60">
        <f>I64-H64</f>
        <v>0.16800020361848064</v>
      </c>
      <c r="K64" s="60">
        <f>D64/D69</f>
        <v>0.16666666666666666</v>
      </c>
      <c r="L64" s="22"/>
      <c r="M64" s="22"/>
    </row>
    <row r="65">
      <c r="A65" s="26" t="s">
        <v>215</v>
      </c>
      <c r="B65" s="26">
        <v>220</v>
      </c>
      <c r="C65" s="26">
        <v>230</v>
      </c>
      <c r="D65" s="26">
        <v>62</v>
      </c>
      <c r="E65" s="63">
        <f>(B65+C65)/2</f>
        <v>225</v>
      </c>
      <c r="F65" s="40">
        <f>D65*E65</f>
        <v>13950</v>
      </c>
      <c r="G65" s="40">
        <f>D65*E65*E65</f>
        <v>3138750</v>
      </c>
      <c r="H65" s="60">
        <f>NORMDIST(B65,B57,B60,TRUE())</f>
        <v>0.212432872880288</v>
      </c>
      <c r="I65" s="60">
        <f>NORMDIST(C65,B57,B60,TRUE())</f>
        <v>0.54196972325263115</v>
      </c>
      <c r="J65" s="60">
        <f>I65-H65</f>
        <v>0.32953685037234315</v>
      </c>
      <c r="K65" s="60">
        <f>D65/D69</f>
        <v>0.34444444444444444</v>
      </c>
      <c r="L65" s="22"/>
      <c r="M65" s="22"/>
    </row>
    <row r="66">
      <c r="A66" s="26" t="s">
        <v>216</v>
      </c>
      <c r="B66" s="26">
        <v>230</v>
      </c>
      <c r="C66" s="26">
        <v>240</v>
      </c>
      <c r="D66" s="26">
        <v>55</v>
      </c>
      <c r="E66" s="63">
        <f>(B66+C66)/2</f>
        <v>235</v>
      </c>
      <c r="F66" s="40">
        <f>D66*E66</f>
        <v>12925</v>
      </c>
      <c r="G66" s="40">
        <f>D66*E66*E66</f>
        <v>3037375</v>
      </c>
      <c r="H66" s="60">
        <f>NORMDIST(B66,B57,B60,TRUE())</f>
        <v>0.54196972325263115</v>
      </c>
      <c r="I66" s="60">
        <f>NORMDIST(C66,B57,B60,TRUE())</f>
        <v>0.84346538813413607</v>
      </c>
      <c r="J66" s="60">
        <f>I66-H66</f>
        <v>0.30149566488150492</v>
      </c>
      <c r="K66" s="60">
        <f>D66/D69</f>
        <v>0.30555555555555558</v>
      </c>
      <c r="L66" s="22"/>
      <c r="M66" s="22"/>
    </row>
    <row r="67">
      <c r="A67" s="26" t="s">
        <v>217</v>
      </c>
      <c r="B67" s="26">
        <v>240</v>
      </c>
      <c r="C67" s="26">
        <v>250</v>
      </c>
      <c r="D67" s="26">
        <v>20</v>
      </c>
      <c r="E67" s="63">
        <f>(B67+C67)/2</f>
        <v>245</v>
      </c>
      <c r="F67" s="40">
        <f>D67*E67</f>
        <v>4900</v>
      </c>
      <c r="G67" s="40">
        <f>D67*E67*E67</f>
        <v>1200500</v>
      </c>
      <c r="H67" s="60">
        <f>NORMDIST(B67,B57,B60,TRUE())</f>
        <v>0.84346538813413607</v>
      </c>
      <c r="I67" s="60">
        <f>NORMDIST(C67,B57,B60,TRUE())</f>
        <v>0.9720752570890081</v>
      </c>
      <c r="J67" s="60">
        <f>I67-H67</f>
        <v>0.12860986895487203</v>
      </c>
      <c r="K67" s="60">
        <f>D67/D69</f>
        <v>0.1111111111111111</v>
      </c>
      <c r="L67" s="22"/>
      <c r="M67" s="22"/>
    </row>
    <row r="68">
      <c r="A68" s="26" t="s">
        <v>218</v>
      </c>
      <c r="B68" s="26">
        <v>250</v>
      </c>
      <c r="C68" s="26">
        <v>260</v>
      </c>
      <c r="D68" s="26">
        <v>6</v>
      </c>
      <c r="E68" s="63">
        <f>(B68+C68)/2</f>
        <v>255</v>
      </c>
      <c r="F68" s="40">
        <f>D68*E68</f>
        <v>1530</v>
      </c>
      <c r="G68" s="40">
        <f>D68*E68*E68</f>
        <v>390150</v>
      </c>
      <c r="H68" s="60">
        <f>NORMDIST(B68,B57,B60,TRUE())</f>
        <v>0.9720752570890081</v>
      </c>
      <c r="I68" s="60">
        <f>NORMDIST(C68,B57,B60,TRUE())</f>
        <v>0.99756579206494056</v>
      </c>
      <c r="J68" s="60">
        <f>I68-H68</f>
        <v>2.5490534975932455e-02</v>
      </c>
      <c r="K68" s="60">
        <f>D68/D69</f>
        <v>3.3333333333333333e-02</v>
      </c>
      <c r="L68" s="22"/>
      <c r="M68" s="22"/>
    </row>
    <row r="69">
      <c r="A69" s="30" t="s">
        <v>26</v>
      </c>
      <c r="B69" s="22"/>
      <c r="C69" s="43"/>
      <c r="D69" s="61">
        <f>SUM(D63:D68)</f>
        <v>180</v>
      </c>
      <c r="E69" s="32"/>
      <c r="F69" s="40">
        <f>SUM(F63:F68)</f>
        <v>41190</v>
      </c>
      <c r="G69" s="40">
        <f>SUM(G63:G68)</f>
        <v>9447700</v>
      </c>
      <c r="H69" s="22"/>
      <c r="I69" s="43"/>
      <c r="J69" s="60">
        <f>SUM(J63:J68)</f>
        <v>0.99296965362848832</v>
      </c>
      <c r="K69" s="60">
        <f>SUM(K63:K68)</f>
        <v>1.0000000000000002</v>
      </c>
      <c r="L69" s="22"/>
      <c r="M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3" t="s">
        <v>219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>
      <c r="A73" s="30" t="s">
        <v>187</v>
      </c>
      <c r="B73" s="62">
        <f>F87/D87</f>
        <v>48.428571428571431</v>
      </c>
      <c r="C73" s="37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30" t="s">
        <v>188</v>
      </c>
      <c r="B74" s="62">
        <f>G87/D87</f>
        <v>2548.4285714285716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30" t="s">
        <v>189</v>
      </c>
      <c r="B75" s="62">
        <f>B74-(B73)^2</f>
        <v>203.10204081632628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30" t="s">
        <v>190</v>
      </c>
      <c r="B76" s="62">
        <f>SQRT(B75)</f>
        <v>14.251387329531335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50"/>
      <c r="B77" s="50"/>
      <c r="C77" s="41"/>
      <c r="D77" s="41"/>
      <c r="E77" s="41"/>
      <c r="F77" s="41"/>
      <c r="G77" s="41"/>
      <c r="H77" s="41"/>
      <c r="I77" s="41"/>
      <c r="J77" s="41"/>
      <c r="K77" s="41"/>
      <c r="L77" s="22"/>
      <c r="M77" s="22"/>
    </row>
    <row r="78">
      <c r="A78" s="24" t="s">
        <v>191</v>
      </c>
      <c r="B78" s="24" t="s">
        <v>192</v>
      </c>
      <c r="C78" s="24" t="s">
        <v>193</v>
      </c>
      <c r="D78" s="24" t="s">
        <v>194</v>
      </c>
      <c r="E78" s="24" t="s">
        <v>195</v>
      </c>
      <c r="F78" s="24" t="s">
        <v>196</v>
      </c>
      <c r="G78" s="24" t="s">
        <v>197</v>
      </c>
      <c r="H78" s="24" t="s">
        <v>198</v>
      </c>
      <c r="I78" s="24" t="s">
        <v>199</v>
      </c>
      <c r="J78" s="24" t="s">
        <v>200</v>
      </c>
      <c r="K78" s="24" t="s">
        <v>136</v>
      </c>
      <c r="L78" s="22"/>
      <c r="M78" s="22"/>
    </row>
    <row r="79">
      <c r="A79" s="26" t="s">
        <v>220</v>
      </c>
      <c r="B79" s="26">
        <v>10</v>
      </c>
      <c r="C79" s="26">
        <v>20</v>
      </c>
      <c r="D79" s="26">
        <v>6</v>
      </c>
      <c r="E79" s="63">
        <f>(B79+C79)/2</f>
        <v>15</v>
      </c>
      <c r="F79" s="40">
        <f>D79*E79</f>
        <v>90</v>
      </c>
      <c r="G79" s="40">
        <f>D79*E79*E79</f>
        <v>1350</v>
      </c>
      <c r="H79" s="60">
        <f>NORMDIST(B79,B73,B76,TRUE())</f>
        <v>3.5038372787185228e-03</v>
      </c>
      <c r="I79" s="60">
        <f>NORMDIST(C79,B73,B76,TRUE())</f>
        <v>2.3032716244394749e-02</v>
      </c>
      <c r="J79" s="60">
        <f>I79-H79</f>
        <v>1.9528878965676226e-02</v>
      </c>
      <c r="K79" s="60">
        <f>D79/D87</f>
        <v>1.7142857142857144e-02</v>
      </c>
      <c r="L79" s="22"/>
      <c r="M79" s="22"/>
    </row>
    <row r="80">
      <c r="A80" s="26" t="s">
        <v>211</v>
      </c>
      <c r="B80" s="26">
        <v>20</v>
      </c>
      <c r="C80" s="26">
        <v>30</v>
      </c>
      <c r="D80" s="26">
        <v>28</v>
      </c>
      <c r="E80" s="63">
        <f>(B80+C80)/2</f>
        <v>25</v>
      </c>
      <c r="F80" s="40">
        <f>D80*E80</f>
        <v>700</v>
      </c>
      <c r="G80" s="40">
        <f>D80*E80*E80</f>
        <v>17500</v>
      </c>
      <c r="H80" s="60">
        <f>NORMDIST(B80,B73,B76,TRUE())</f>
        <v>2.3032716244394749e-02</v>
      </c>
      <c r="I80" s="60">
        <f>NORMDIST(C80,B73,B76,TRUE())</f>
        <v>9.7986994304396391e-02</v>
      </c>
      <c r="J80" s="60">
        <f>I80-H80</f>
        <v>7.4954278060001642e-02</v>
      </c>
      <c r="K80" s="60">
        <f>D80/D87</f>
        <v>8.0000000000000002e-02</v>
      </c>
      <c r="L80" s="22"/>
      <c r="M80" s="22"/>
    </row>
    <row r="81">
      <c r="A81" s="26" t="s">
        <v>38</v>
      </c>
      <c r="B81" s="26">
        <v>30</v>
      </c>
      <c r="C81" s="26">
        <v>40</v>
      </c>
      <c r="D81" s="26">
        <v>64</v>
      </c>
      <c r="E81" s="63">
        <f>(B81+C81)/2</f>
        <v>35</v>
      </c>
      <c r="F81" s="40">
        <f>D81*E81</f>
        <v>2240</v>
      </c>
      <c r="G81" s="40">
        <f>D81*E81*E81</f>
        <v>78400</v>
      </c>
      <c r="H81" s="60">
        <f>NORMDIST(B81,B73,B76,TRUE())</f>
        <v>9.7986994304396391e-02</v>
      </c>
      <c r="I81" s="60">
        <f>NORMDIST(C81,B73,B76,TRUE())</f>
        <v>0.27711914703233803</v>
      </c>
      <c r="J81" s="60">
        <f>I81-H81</f>
        <v>0.17913215272794164</v>
      </c>
      <c r="K81" s="60">
        <f>D81/D87</f>
        <v>0.18285714285714286</v>
      </c>
      <c r="L81" s="22"/>
      <c r="M81" s="22"/>
    </row>
    <row r="82">
      <c r="A82" s="26" t="s">
        <v>39</v>
      </c>
      <c r="B82" s="26">
        <v>40</v>
      </c>
      <c r="C82" s="26">
        <v>50</v>
      </c>
      <c r="D82" s="26">
        <v>95</v>
      </c>
      <c r="E82" s="63">
        <f>(B82+C82)/2</f>
        <v>45</v>
      </c>
      <c r="F82" s="40">
        <f>D82*E82</f>
        <v>4275</v>
      </c>
      <c r="G82" s="40">
        <f>D82*E82*E82</f>
        <v>192375</v>
      </c>
      <c r="H82" s="60">
        <f>NORMDIST(B82,B73,B76,TRUE())</f>
        <v>0.27711914703233803</v>
      </c>
      <c r="I82" s="60">
        <f>NORMDIST(C82,B73,B76,TRUE())</f>
        <v>0.54390037488670906</v>
      </c>
      <c r="J82" s="60">
        <f>I82-H82</f>
        <v>0.26678122785437103</v>
      </c>
      <c r="K82" s="60">
        <f>D82/D87</f>
        <v>0.27142857142857141</v>
      </c>
      <c r="L82" s="22"/>
      <c r="M82" s="22"/>
    </row>
    <row r="83">
      <c r="A83" s="26" t="s">
        <v>40</v>
      </c>
      <c r="B83" s="26">
        <v>50</v>
      </c>
      <c r="C83" s="26">
        <v>60</v>
      </c>
      <c r="D83" s="26">
        <v>82</v>
      </c>
      <c r="E83" s="63">
        <f>(B83+C83)/2</f>
        <v>55</v>
      </c>
      <c r="F83" s="40">
        <f>D83*E83</f>
        <v>4510</v>
      </c>
      <c r="G83" s="40">
        <f>D83*E83*E83</f>
        <v>248050</v>
      </c>
      <c r="H83" s="60">
        <f>NORMDIST(B83,B73,B76,TRUE())</f>
        <v>0.54390037488670906</v>
      </c>
      <c r="I83" s="60">
        <f>NORMDIST(C83,B73,B76,TRUE())</f>
        <v>0.79159013332532391</v>
      </c>
      <c r="J83" s="60">
        <f>I83-H83</f>
        <v>0.24768975843861485</v>
      </c>
      <c r="K83" s="60">
        <f>D83/D87</f>
        <v>0.23428571428571429</v>
      </c>
      <c r="L83" s="22"/>
      <c r="M83" s="22"/>
    </row>
    <row r="84">
      <c r="A84" s="26" t="s">
        <v>41</v>
      </c>
      <c r="B84" s="26">
        <v>60</v>
      </c>
      <c r="C84" s="26">
        <v>70</v>
      </c>
      <c r="D84" s="26">
        <v>54</v>
      </c>
      <c r="E84" s="63">
        <f>(B84+C84)/2</f>
        <v>65</v>
      </c>
      <c r="F84" s="40">
        <f>D84*E84</f>
        <v>3510</v>
      </c>
      <c r="G84" s="40">
        <f>D84*E84*E84</f>
        <v>228150</v>
      </c>
      <c r="H84" s="60">
        <f>NORMDIST(B84,B73,B76,TRUE())</f>
        <v>0.79159013332532391</v>
      </c>
      <c r="I84" s="60">
        <f>NORMDIST(C84,B73,B76,TRUE())</f>
        <v>0.93494104678311563</v>
      </c>
      <c r="J84" s="60">
        <f>I84-H84</f>
        <v>0.14335091345779172</v>
      </c>
      <c r="K84" s="60">
        <f>D84/D87</f>
        <v>0.15428571428571428</v>
      </c>
      <c r="L84" s="22"/>
      <c r="M84" s="22"/>
    </row>
    <row r="85">
      <c r="A85" s="26" t="s">
        <v>42</v>
      </c>
      <c r="B85" s="26">
        <v>70</v>
      </c>
      <c r="C85" s="26">
        <v>80</v>
      </c>
      <c r="D85" s="26">
        <v>16</v>
      </c>
      <c r="E85" s="63">
        <f>(B85+C85)/2</f>
        <v>75</v>
      </c>
      <c r="F85" s="40">
        <f>D85*E85</f>
        <v>1200</v>
      </c>
      <c r="G85" s="40">
        <f>D85*E85*E85</f>
        <v>90000</v>
      </c>
      <c r="H85" s="60">
        <f>NORMDIST(B85,B73,B76,TRUE())</f>
        <v>0.93494104678311563</v>
      </c>
      <c r="I85" s="60">
        <f>NORMDIST(C85,B73,B76,TRUE())</f>
        <v>0.98663105473590529</v>
      </c>
      <c r="J85" s="60">
        <f>I85-H85</f>
        <v>5.1690007952789663e-02</v>
      </c>
      <c r="K85" s="60">
        <f>D85/D87</f>
        <v>4.5714285714285714e-02</v>
      </c>
      <c r="L85" s="22"/>
      <c r="M85" s="22"/>
    </row>
    <row r="86">
      <c r="A86" s="26" t="s">
        <v>43</v>
      </c>
      <c r="B86" s="26">
        <v>80</v>
      </c>
      <c r="C86" s="26">
        <v>90</v>
      </c>
      <c r="D86" s="26">
        <v>5</v>
      </c>
      <c r="E86" s="63">
        <f>(B86+C86)/2</f>
        <v>85</v>
      </c>
      <c r="F86" s="40">
        <f>D86*E86</f>
        <v>425</v>
      </c>
      <c r="G86" s="40">
        <f>D86*E86*E86</f>
        <v>36125</v>
      </c>
      <c r="H86" s="60">
        <f>NORMDIST(B86,B73,B76,TRUE())</f>
        <v>0.98663105473590529</v>
      </c>
      <c r="I86" s="60">
        <f>NORMDIST(C86,B73,B76,TRUE())</f>
        <v>0.99823297350254092</v>
      </c>
      <c r="J86" s="60">
        <f>I86-H86</f>
        <v>1.1601918766635633e-02</v>
      </c>
      <c r="K86" s="60">
        <f>D86/D87</f>
        <v>1.4285714285714285e-02</v>
      </c>
      <c r="L86" s="22"/>
      <c r="M86" s="22"/>
    </row>
    <row r="87">
      <c r="A87" s="30" t="s">
        <v>26</v>
      </c>
      <c r="B87" s="22"/>
      <c r="C87" s="43"/>
      <c r="D87" s="61">
        <f>SUM(D79:D86)</f>
        <v>350</v>
      </c>
      <c r="E87" s="32"/>
      <c r="F87" s="40">
        <f>SUM(F79:F86)</f>
        <v>16950</v>
      </c>
      <c r="G87" s="40">
        <f>SUM(G79:G86)</f>
        <v>891950</v>
      </c>
      <c r="H87" s="22"/>
      <c r="I87" s="43"/>
      <c r="J87" s="60">
        <f>SUM(J79:J86)</f>
        <v>0.99472913622382231</v>
      </c>
      <c r="K87" s="60">
        <f>SUM(K79:K86)</f>
        <v>0.99999999999999989</v>
      </c>
      <c r="L87" s="22"/>
      <c r="M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>
      <c r="A90" s="23" t="s">
        <v>221</v>
      </c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>
      <c r="A91" s="30" t="s">
        <v>187</v>
      </c>
      <c r="B91" s="62">
        <f>F105/D105</f>
        <v>48.452380952380949</v>
      </c>
      <c r="C91" s="37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>
      <c r="A92" s="30" t="s">
        <v>188</v>
      </c>
      <c r="B92" s="62">
        <f>G105/D105</f>
        <v>2399.8214285714284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30" t="s">
        <v>189</v>
      </c>
      <c r="B93" s="62">
        <f>B92-(B91)^2</f>
        <v>52.18820861678023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30" t="s">
        <v>190</v>
      </c>
      <c r="B94" s="62">
        <f>SQRT(B93)</f>
        <v>7.2241406836232249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>
      <c r="A95" s="50"/>
      <c r="B95" s="50"/>
      <c r="C95" s="41"/>
      <c r="D95" s="41"/>
      <c r="E95" s="41"/>
      <c r="F95" s="41"/>
      <c r="G95" s="41"/>
      <c r="H95" s="41"/>
      <c r="I95" s="41"/>
      <c r="J95" s="41"/>
      <c r="K95" s="41"/>
      <c r="L95" s="22"/>
      <c r="M95" s="22"/>
    </row>
    <row r="96">
      <c r="A96" s="24" t="s">
        <v>191</v>
      </c>
      <c r="B96" s="24" t="s">
        <v>192</v>
      </c>
      <c r="C96" s="24" t="s">
        <v>193</v>
      </c>
      <c r="D96" s="24" t="s">
        <v>194</v>
      </c>
      <c r="E96" s="24" t="s">
        <v>195</v>
      </c>
      <c r="F96" s="24" t="s">
        <v>196</v>
      </c>
      <c r="G96" s="24" t="s">
        <v>197</v>
      </c>
      <c r="H96" s="24" t="s">
        <v>198</v>
      </c>
      <c r="I96" s="24" t="s">
        <v>199</v>
      </c>
      <c r="J96" s="24" t="s">
        <v>200</v>
      </c>
      <c r="K96" s="24" t="s">
        <v>136</v>
      </c>
      <c r="L96" s="22"/>
      <c r="M96" s="22"/>
    </row>
    <row r="97">
      <c r="A97" s="26" t="s">
        <v>222</v>
      </c>
      <c r="B97" s="26">
        <v>30</v>
      </c>
      <c r="C97" s="26">
        <v>35</v>
      </c>
      <c r="D97" s="26">
        <v>12</v>
      </c>
      <c r="E97" s="63">
        <f>(B97+C97)/2</f>
        <v>32.5</v>
      </c>
      <c r="F97" s="40">
        <f>D97*E97</f>
        <v>390</v>
      </c>
      <c r="G97" s="40">
        <f>D97*E97*E97</f>
        <v>12675</v>
      </c>
      <c r="H97" s="60">
        <f>NORMDIST(B97,B91,B94,TRUE())</f>
        <v>5.320587904209988e-03</v>
      </c>
      <c r="I97" s="60">
        <f>NORMDIST(C97,B91,B94,TRUE())</f>
        <v>3.1291488182806325e-02</v>
      </c>
      <c r="J97" s="60">
        <f>I97-H97</f>
        <v>2.5970900278596339e-02</v>
      </c>
      <c r="K97" s="60">
        <f>D97/D105</f>
        <v>2.8571428571428571e-02</v>
      </c>
      <c r="L97" s="22"/>
      <c r="M97" s="22"/>
    </row>
    <row r="98">
      <c r="A98" s="26" t="s">
        <v>223</v>
      </c>
      <c r="B98" s="26">
        <v>35</v>
      </c>
      <c r="C98" s="26">
        <v>40</v>
      </c>
      <c r="D98" s="26">
        <v>38</v>
      </c>
      <c r="E98" s="63">
        <f>(B98+C98)/2</f>
        <v>37.5</v>
      </c>
      <c r="F98" s="40">
        <f>D98*E98</f>
        <v>1425</v>
      </c>
      <c r="G98" s="40">
        <f>D98*E98*E98</f>
        <v>53437.5</v>
      </c>
      <c r="H98" s="60">
        <f>NORMDIST(B98,B91,B94,TRUE())</f>
        <v>3.1291488182806325e-02</v>
      </c>
      <c r="I98" s="60">
        <f>NORMDIST(C98,B91,B94,TRUE())</f>
        <v>0.1209966866440568</v>
      </c>
      <c r="J98" s="60">
        <f>I98-H98</f>
        <v>8.9705198461250468e-02</v>
      </c>
      <c r="K98" s="60">
        <f>D98/D105</f>
        <v>9.0476190476190474e-02</v>
      </c>
      <c r="L98" s="22"/>
      <c r="M98" s="22"/>
    </row>
    <row r="99">
      <c r="A99" s="26" t="s">
        <v>224</v>
      </c>
      <c r="B99" s="26">
        <v>40</v>
      </c>
      <c r="C99" s="26">
        <v>45</v>
      </c>
      <c r="D99" s="26">
        <v>82</v>
      </c>
      <c r="E99" s="63">
        <f>(B99+C99)/2</f>
        <v>42.5</v>
      </c>
      <c r="F99" s="40">
        <f>D99*E99</f>
        <v>3485</v>
      </c>
      <c r="G99" s="40">
        <f>D99*E99*E99</f>
        <v>148112.5</v>
      </c>
      <c r="H99" s="60">
        <f>NORMDIST(B99,B91,B94,TRUE())</f>
        <v>0.1209966866440568</v>
      </c>
      <c r="I99" s="60">
        <f>NORMDIST(C99,B91,B94,TRUE())</f>
        <v>0.31636245831047649</v>
      </c>
      <c r="J99" s="60">
        <f>I99-H99</f>
        <v>0.19536577166641969</v>
      </c>
      <c r="K99" s="60">
        <f>D99/D105</f>
        <v>0.19523809523809524</v>
      </c>
      <c r="L99" s="22"/>
      <c r="M99" s="22"/>
    </row>
    <row r="100">
      <c r="A100" s="26" t="s">
        <v>18</v>
      </c>
      <c r="B100" s="26">
        <v>45</v>
      </c>
      <c r="C100" s="26">
        <v>50</v>
      </c>
      <c r="D100" s="26">
        <v>118</v>
      </c>
      <c r="E100" s="63">
        <f>(B100+C100)/2</f>
        <v>47.5</v>
      </c>
      <c r="F100" s="40">
        <f>D100*E100</f>
        <v>5605</v>
      </c>
      <c r="G100" s="40">
        <f>D100*E100*E100</f>
        <v>266237.5</v>
      </c>
      <c r="H100" s="60">
        <f>NORMDIST(B100,B91,B94,TRUE())</f>
        <v>0.31636245831047649</v>
      </c>
      <c r="I100" s="60">
        <f>NORMDIST(C100,B91,B94,TRUE())</f>
        <v>0.5848156840099884</v>
      </c>
      <c r="J100" s="60">
        <f>I100-H100</f>
        <v>0.26845322569951191</v>
      </c>
      <c r="K100" s="60">
        <f>D100/D105</f>
        <v>0.28095238095238095</v>
      </c>
      <c r="L100" s="22"/>
      <c r="M100" s="22"/>
    </row>
    <row r="101">
      <c r="A101" s="26" t="s">
        <v>48</v>
      </c>
      <c r="B101" s="26">
        <v>50</v>
      </c>
      <c r="C101" s="26">
        <v>55</v>
      </c>
      <c r="D101" s="26">
        <v>96</v>
      </c>
      <c r="E101" s="63">
        <f>(B101+C101)/2</f>
        <v>52.5</v>
      </c>
      <c r="F101" s="40">
        <f>D101*E101</f>
        <v>5040</v>
      </c>
      <c r="G101" s="40">
        <f>D101*E101*E101</f>
        <v>264600</v>
      </c>
      <c r="H101" s="60">
        <f>NORMDIST(B101,B91,B94,TRUE())</f>
        <v>0.5848156840099884</v>
      </c>
      <c r="I101" s="60">
        <f>NORMDIST(C101,B91,B94,TRUE())</f>
        <v>0.81762538662915873</v>
      </c>
      <c r="J101" s="60">
        <f>I101-H101</f>
        <v>0.23280970261917033</v>
      </c>
      <c r="K101" s="60">
        <f>D101/D105</f>
        <v>0.22857142857142856</v>
      </c>
      <c r="L101" s="22"/>
      <c r="M101" s="22"/>
    </row>
    <row r="102">
      <c r="A102" s="26" t="s">
        <v>49</v>
      </c>
      <c r="B102" s="26">
        <v>55</v>
      </c>
      <c r="C102" s="26">
        <v>60</v>
      </c>
      <c r="D102" s="26">
        <v>48</v>
      </c>
      <c r="E102" s="63">
        <f>(B102+C102)/2</f>
        <v>57.5</v>
      </c>
      <c r="F102" s="40">
        <f>D102*E102</f>
        <v>2760</v>
      </c>
      <c r="G102" s="40">
        <f>D102*E102*E102</f>
        <v>158700</v>
      </c>
      <c r="H102" s="60">
        <f>NORMDIST(B102,B91,B94,TRUE())</f>
        <v>0.81762538662915873</v>
      </c>
      <c r="I102" s="60">
        <f>NORMDIST(C102,B91,B94,TRUE())</f>
        <v>0.94503151330013235</v>
      </c>
      <c r="J102" s="60">
        <f>I102-H102</f>
        <v>0.12740612667097362</v>
      </c>
      <c r="K102" s="60">
        <f>D102/D105</f>
        <v>0.11428571428571428</v>
      </c>
      <c r="L102" s="22"/>
      <c r="M102" s="22"/>
    </row>
    <row r="103">
      <c r="A103" s="26" t="s">
        <v>50</v>
      </c>
      <c r="B103" s="26">
        <v>60</v>
      </c>
      <c r="C103" s="26">
        <v>65</v>
      </c>
      <c r="D103" s="26">
        <v>22</v>
      </c>
      <c r="E103" s="63">
        <f>(B103+C103)/2</f>
        <v>62.5</v>
      </c>
      <c r="F103" s="40">
        <f>D103*E103</f>
        <v>1375</v>
      </c>
      <c r="G103" s="40">
        <f>D103*E103*E103</f>
        <v>85937.5</v>
      </c>
      <c r="H103" s="60">
        <f>NORMDIST(B103,B91,B94,TRUE())</f>
        <v>0.94503151330013235</v>
      </c>
      <c r="I103" s="60">
        <f>NORMDIST(C103,B91,B94,TRUE())</f>
        <v>0.98900673013578133</v>
      </c>
      <c r="J103" s="60">
        <f>I103-H103</f>
        <v>4.3975216835648978e-02</v>
      </c>
      <c r="K103" s="60">
        <f>D103/D105</f>
        <v>5.2380952380952382e-02</v>
      </c>
      <c r="L103" s="22"/>
      <c r="M103" s="22"/>
    </row>
    <row r="104">
      <c r="A104" s="26" t="s">
        <v>51</v>
      </c>
      <c r="B104" s="26">
        <v>65</v>
      </c>
      <c r="C104" s="26">
        <v>70</v>
      </c>
      <c r="D104" s="26">
        <v>4</v>
      </c>
      <c r="E104" s="63">
        <f>(B104+C104)/2</f>
        <v>67.5</v>
      </c>
      <c r="F104" s="40">
        <f>D104*E104</f>
        <v>270</v>
      </c>
      <c r="G104" s="40">
        <f>D104*E104*E104</f>
        <v>18225</v>
      </c>
      <c r="H104" s="60">
        <f>NORMDIST(B104,B91,B94,TRUE())</f>
        <v>0.98900673013578133</v>
      </c>
      <c r="I104" s="60">
        <f>NORMDIST(C104,B91,B94,TRUE())</f>
        <v>0.99857152330166776</v>
      </c>
      <c r="J104" s="60">
        <f>I104-H104</f>
        <v>9.5647931658864316e-03</v>
      </c>
      <c r="K104" s="60">
        <f>D104/D105</f>
        <v>9.5238095238095247e-03</v>
      </c>
      <c r="L104" s="22"/>
      <c r="M104" s="22"/>
    </row>
    <row r="105">
      <c r="A105" s="30" t="s">
        <v>26</v>
      </c>
      <c r="B105" s="22"/>
      <c r="C105" s="43"/>
      <c r="D105" s="61">
        <f>SUM(D97:D104)</f>
        <v>420</v>
      </c>
      <c r="E105" s="32"/>
      <c r="F105" s="40">
        <f>SUM(F97:F104)</f>
        <v>20350</v>
      </c>
      <c r="G105" s="40">
        <f>SUM(G97:G104)</f>
        <v>1007925</v>
      </c>
      <c r="H105" s="22"/>
      <c r="I105" s="43"/>
      <c r="J105" s="60">
        <f>SUM(J97:J104)</f>
        <v>0.99325093539745779</v>
      </c>
      <c r="K105" s="60">
        <f>SUM(K97:K104)</f>
        <v>1</v>
      </c>
      <c r="L105" s="22"/>
      <c r="M105" s="22"/>
    </row>
  </sheetData>
  <mergeCells count="7">
    <mergeCell ref="A1:M1"/>
    <mergeCell ref="A3:M3"/>
    <mergeCell ref="A21:M21"/>
    <mergeCell ref="A39:M39"/>
    <mergeCell ref="A56:M56"/>
    <mergeCell ref="A72:M72"/>
    <mergeCell ref="A90:M9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4" t="s">
        <v>225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>
      <c r="A3" s="23" t="s">
        <v>226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2"/>
    </row>
    <row r="4">
      <c r="A4" s="54" t="s">
        <v>227</v>
      </c>
      <c r="B4" s="54">
        <v>1</v>
      </c>
      <c r="C4" s="54">
        <v>2</v>
      </c>
      <c r="D4" s="54">
        <v>3</v>
      </c>
      <c r="E4" s="54">
        <v>4</v>
      </c>
      <c r="F4" s="54">
        <v>5</v>
      </c>
      <c r="G4" s="54">
        <v>6</v>
      </c>
      <c r="H4" s="54">
        <v>7</v>
      </c>
      <c r="I4" s="54">
        <v>8</v>
      </c>
      <c r="J4" s="54">
        <v>9</v>
      </c>
      <c r="K4" s="54">
        <v>10</v>
      </c>
      <c r="L4" s="37"/>
      <c r="M4" s="22"/>
    </row>
    <row r="5">
      <c r="A5" s="54" t="s">
        <v>228</v>
      </c>
      <c r="B5" s="26">
        <v>25</v>
      </c>
      <c r="C5" s="26">
        <v>35</v>
      </c>
      <c r="D5" s="26">
        <v>42</v>
      </c>
      <c r="E5" s="26">
        <v>50</v>
      </c>
      <c r="F5" s="26">
        <v>58</v>
      </c>
      <c r="G5" s="26">
        <v>65</v>
      </c>
      <c r="H5" s="26">
        <v>72</v>
      </c>
      <c r="I5" s="26">
        <v>78</v>
      </c>
      <c r="J5" s="26">
        <v>85</v>
      </c>
      <c r="K5" s="26">
        <v>92</v>
      </c>
      <c r="L5" s="22"/>
      <c r="M5" s="22"/>
    </row>
    <row r="6">
      <c r="A6" s="50"/>
      <c r="B6" s="50"/>
      <c r="C6" s="50"/>
      <c r="D6" s="50"/>
      <c r="E6" s="50"/>
      <c r="F6" s="22"/>
      <c r="G6" s="22"/>
      <c r="H6" s="22"/>
      <c r="I6" s="22"/>
      <c r="J6" s="22"/>
      <c r="K6" s="22"/>
      <c r="L6" s="22"/>
      <c r="M6" s="22"/>
    </row>
    <row r="7">
      <c r="A7" s="51" t="s">
        <v>229</v>
      </c>
      <c r="B7" s="52"/>
      <c r="C7" s="52"/>
      <c r="D7" s="52"/>
      <c r="E7" s="53"/>
      <c r="F7" s="22"/>
      <c r="G7" s="22"/>
      <c r="H7" s="22"/>
      <c r="I7" s="22"/>
      <c r="J7" s="22"/>
      <c r="K7" s="22"/>
      <c r="L7" s="22"/>
      <c r="M7" s="22"/>
    </row>
    <row r="8">
      <c r="A8" s="54" t="s">
        <v>10</v>
      </c>
      <c r="B8" s="54" t="s">
        <v>230</v>
      </c>
      <c r="C8" s="54" t="s">
        <v>231</v>
      </c>
      <c r="D8" s="54" t="s">
        <v>232</v>
      </c>
      <c r="E8" s="22"/>
      <c r="F8" s="22"/>
      <c r="G8" s="22"/>
      <c r="H8" s="22"/>
      <c r="I8" s="22"/>
      <c r="J8" s="22"/>
      <c r="K8" s="22"/>
      <c r="L8" s="22"/>
      <c r="M8" s="22"/>
    </row>
    <row r="9">
      <c r="A9" s="26">
        <v>1</v>
      </c>
      <c r="B9" s="26">
        <v>25</v>
      </c>
      <c r="C9" s="38">
        <f>A9*B9</f>
        <v>25</v>
      </c>
      <c r="D9" s="38">
        <f>A9*A9</f>
        <v>1</v>
      </c>
      <c r="E9" s="22"/>
      <c r="F9" s="22"/>
      <c r="G9" s="22"/>
      <c r="H9" s="22"/>
      <c r="I9" s="22"/>
      <c r="J9" s="22"/>
      <c r="K9" s="22"/>
      <c r="L9" s="22"/>
      <c r="M9" s="22"/>
    </row>
    <row r="10">
      <c r="A10" s="26">
        <v>2</v>
      </c>
      <c r="B10" s="26">
        <v>35</v>
      </c>
      <c r="C10" s="38">
        <f>A10*B10</f>
        <v>70</v>
      </c>
      <c r="D10" s="38">
        <f>A10*A10</f>
        <v>4</v>
      </c>
      <c r="E10" s="22"/>
      <c r="F10" s="22"/>
      <c r="G10" s="22"/>
      <c r="H10" s="22"/>
      <c r="I10" s="22"/>
      <c r="J10" s="22"/>
      <c r="K10" s="22"/>
      <c r="L10" s="22"/>
      <c r="M10" s="22"/>
    </row>
    <row r="11">
      <c r="A11" s="26">
        <v>3</v>
      </c>
      <c r="B11" s="26">
        <v>42</v>
      </c>
      <c r="C11" s="38">
        <f>A11*B11</f>
        <v>126</v>
      </c>
      <c r="D11" s="38">
        <f>A11*A11</f>
        <v>9</v>
      </c>
      <c r="E11" s="22"/>
      <c r="F11" s="22"/>
      <c r="G11" s="22"/>
      <c r="H11" s="22"/>
      <c r="I11" s="22"/>
      <c r="J11" s="22"/>
      <c r="K11" s="22"/>
      <c r="L11" s="22"/>
      <c r="M11" s="22"/>
    </row>
    <row r="12">
      <c r="A12" s="26">
        <v>4</v>
      </c>
      <c r="B12" s="26">
        <v>50</v>
      </c>
      <c r="C12" s="38">
        <f>A12*B12</f>
        <v>200</v>
      </c>
      <c r="D12" s="38">
        <f>A12*A12</f>
        <v>16</v>
      </c>
      <c r="E12" s="22"/>
      <c r="F12" s="22"/>
      <c r="G12" s="22"/>
      <c r="H12" s="22"/>
      <c r="I12" s="22"/>
      <c r="J12" s="22"/>
      <c r="K12" s="22"/>
      <c r="L12" s="22"/>
      <c r="M12" s="22"/>
    </row>
    <row r="13">
      <c r="A13" s="26">
        <v>5</v>
      </c>
      <c r="B13" s="26">
        <v>58</v>
      </c>
      <c r="C13" s="38">
        <f>A13*B13</f>
        <v>290</v>
      </c>
      <c r="D13" s="38">
        <f>A13*A13</f>
        <v>25</v>
      </c>
      <c r="E13" s="22"/>
      <c r="F13" s="22"/>
      <c r="G13" s="22"/>
      <c r="H13" s="22"/>
      <c r="I13" s="22"/>
      <c r="J13" s="22"/>
      <c r="K13" s="22"/>
      <c r="L13" s="22"/>
      <c r="M13" s="22"/>
    </row>
    <row r="14">
      <c r="A14" s="26">
        <v>6</v>
      </c>
      <c r="B14" s="26">
        <v>65</v>
      </c>
      <c r="C14" s="38">
        <f>A14*B14</f>
        <v>390</v>
      </c>
      <c r="D14" s="38">
        <f>A14*A14</f>
        <v>36</v>
      </c>
      <c r="E14" s="22"/>
      <c r="F14" s="22"/>
      <c r="G14" s="22"/>
      <c r="H14" s="22"/>
      <c r="I14" s="22"/>
      <c r="J14" s="22"/>
      <c r="K14" s="22"/>
      <c r="L14" s="22"/>
      <c r="M14" s="22"/>
    </row>
    <row r="15">
      <c r="A15" s="26">
        <v>7</v>
      </c>
      <c r="B15" s="26">
        <v>72</v>
      </c>
      <c r="C15" s="38">
        <f>A15*B15</f>
        <v>504</v>
      </c>
      <c r="D15" s="38">
        <f>A15*A15</f>
        <v>49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A16" s="26">
        <v>8</v>
      </c>
      <c r="B16" s="26">
        <v>78</v>
      </c>
      <c r="C16" s="38">
        <f>A16*B16</f>
        <v>624</v>
      </c>
      <c r="D16" s="38">
        <f>A16*A16</f>
        <v>64</v>
      </c>
      <c r="E16" s="22"/>
      <c r="F16" s="22"/>
      <c r="G16" s="22"/>
      <c r="H16" s="22"/>
      <c r="I16" s="22"/>
      <c r="J16" s="22"/>
      <c r="K16" s="22"/>
      <c r="L16" s="22"/>
      <c r="M16" s="22"/>
    </row>
    <row r="17">
      <c r="A17" s="26">
        <v>9</v>
      </c>
      <c r="B17" s="26">
        <v>85</v>
      </c>
      <c r="C17" s="38">
        <f>A17*B17</f>
        <v>765</v>
      </c>
      <c r="D17" s="38">
        <f>A17*A17</f>
        <v>81</v>
      </c>
      <c r="E17" s="22"/>
      <c r="F17" s="22"/>
      <c r="G17" s="22"/>
      <c r="H17" s="22"/>
      <c r="I17" s="22"/>
      <c r="J17" s="22"/>
      <c r="K17" s="22"/>
      <c r="L17" s="22"/>
      <c r="M17" s="22"/>
    </row>
    <row r="18">
      <c r="A18" s="26">
        <v>10</v>
      </c>
      <c r="B18" s="26">
        <v>92</v>
      </c>
      <c r="C18" s="38">
        <f>A18*B18</f>
        <v>920</v>
      </c>
      <c r="D18" s="38">
        <f>A18*A18</f>
        <v>100</v>
      </c>
      <c r="E18" s="45"/>
      <c r="F18" s="22"/>
      <c r="G18" s="22"/>
      <c r="H18" s="22"/>
      <c r="I18" s="22"/>
      <c r="J18" s="22"/>
      <c r="K18" s="22"/>
      <c r="L18" s="22"/>
      <c r="M18" s="22"/>
    </row>
    <row r="19">
      <c r="A19" s="38">
        <f>SUM(A9:A18)</f>
        <v>55</v>
      </c>
      <c r="B19" s="38">
        <f>SUM(B9:B18)</f>
        <v>602</v>
      </c>
      <c r="C19" s="38">
        <f>SUM(C9:C18)</f>
        <v>3914</v>
      </c>
      <c r="D19" s="38">
        <f>SUM(D9:D18)</f>
        <v>385</v>
      </c>
      <c r="E19" s="54" t="s">
        <v>233</v>
      </c>
      <c r="F19" s="22"/>
      <c r="G19" s="22"/>
      <c r="H19" s="22"/>
      <c r="I19" s="22"/>
      <c r="J19" s="22"/>
      <c r="K19" s="22"/>
      <c r="L19" s="22"/>
      <c r="M19" s="22"/>
    </row>
    <row r="20">
      <c r="A20" s="50"/>
      <c r="B20" s="50"/>
      <c r="C20" s="50"/>
      <c r="D20" s="50"/>
      <c r="E20" s="50"/>
      <c r="F20" s="22"/>
      <c r="G20" s="22"/>
      <c r="H20" s="22"/>
      <c r="I20" s="22"/>
      <c r="J20" s="22"/>
      <c r="K20" s="22"/>
      <c r="L20" s="22"/>
      <c r="M20" s="22"/>
    </row>
    <row r="21">
      <c r="A21" s="51" t="s">
        <v>234</v>
      </c>
      <c r="B21" s="52"/>
      <c r="C21" s="52"/>
      <c r="D21" s="52"/>
      <c r="E21" s="53"/>
      <c r="F21" s="22"/>
      <c r="G21" s="22"/>
      <c r="H21" s="22"/>
      <c r="I21" s="22"/>
      <c r="J21" s="22"/>
      <c r="K21" s="22"/>
      <c r="L21" s="22"/>
      <c r="M21" s="22"/>
    </row>
    <row r="22">
      <c r="A22" s="54" t="s">
        <v>235</v>
      </c>
      <c r="B22" s="54" t="s">
        <v>141</v>
      </c>
      <c r="C22" s="54" t="s">
        <v>62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>
      <c r="A23" s="26" t="s">
        <v>236</v>
      </c>
      <c r="B23" s="58" t="s">
        <v>237</v>
      </c>
      <c r="C23" s="62">
        <f>A19/10</f>
        <v>5.5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>
      <c r="A24" s="26" t="s">
        <v>238</v>
      </c>
      <c r="B24" s="58" t="s">
        <v>239</v>
      </c>
      <c r="C24" s="62">
        <f>B19/10</f>
        <v>60.200000000000003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>
      <c r="A25" s="26" t="s">
        <v>240</v>
      </c>
      <c r="B25" s="58" t="s">
        <v>241</v>
      </c>
      <c r="C25" s="62">
        <f>D19-(A19^2/10)</f>
        <v>82.5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>
      <c r="A26" s="26" t="s">
        <v>242</v>
      </c>
      <c r="B26" s="58" t="s">
        <v>243</v>
      </c>
      <c r="C26" s="62">
        <f>C19-(A19*B19/10)</f>
        <v>603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>
      <c r="A27" s="26" t="s">
        <v>244</v>
      </c>
      <c r="B27" s="58" t="s">
        <v>245</v>
      </c>
      <c r="C27" s="62">
        <f>C26/C25</f>
        <v>7.3090909090909095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>
      <c r="A28" s="26" t="s">
        <v>246</v>
      </c>
      <c r="B28" s="58" t="s">
        <v>247</v>
      </c>
      <c r="C28" s="62">
        <f>C24-C27*C23</f>
        <v>20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>
      <c r="A29" s="30" t="s">
        <v>248</v>
      </c>
      <c r="B29" s="58" t="s">
        <v>249</v>
      </c>
      <c r="C29" s="38" t="str">
        <f>CONCATENATE("y = ",TEXT(C28,"0.0000")," + ",TEXT(C27,"0.0000"),"*x")</f>
        <v xml:space="preserve">y = 20.0000 + 7.3091*x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>
      <c r="A32" s="23" t="s">
        <v>250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2"/>
    </row>
    <row r="33">
      <c r="A33" s="54" t="s">
        <v>251</v>
      </c>
      <c r="B33" s="54">
        <v>18</v>
      </c>
      <c r="C33" s="54">
        <v>20</v>
      </c>
      <c r="D33" s="54">
        <v>22</v>
      </c>
      <c r="E33" s="54">
        <v>24</v>
      </c>
      <c r="F33" s="54">
        <v>26</v>
      </c>
      <c r="G33" s="54">
        <v>28</v>
      </c>
      <c r="H33" s="54">
        <v>30</v>
      </c>
      <c r="I33" s="54">
        <v>32</v>
      </c>
      <c r="J33" s="54">
        <v>34</v>
      </c>
      <c r="K33" s="54">
        <v>36</v>
      </c>
      <c r="L33" s="37"/>
      <c r="M33" s="22"/>
    </row>
    <row r="34">
      <c r="A34" s="54" t="s">
        <v>252</v>
      </c>
      <c r="B34" s="26">
        <v>12</v>
      </c>
      <c r="C34" s="26">
        <v>15</v>
      </c>
      <c r="D34" s="26">
        <v>18</v>
      </c>
      <c r="E34" s="26">
        <v>22</v>
      </c>
      <c r="F34" s="26">
        <v>28</v>
      </c>
      <c r="G34" s="26">
        <v>32</v>
      </c>
      <c r="H34" s="26">
        <v>36</v>
      </c>
      <c r="I34" s="26">
        <v>42</v>
      </c>
      <c r="J34" s="26">
        <v>46</v>
      </c>
      <c r="K34" s="26">
        <v>52</v>
      </c>
      <c r="L34" s="22"/>
      <c r="M34" s="22"/>
    </row>
    <row r="35">
      <c r="A35" s="50"/>
      <c r="B35" s="50"/>
      <c r="C35" s="50"/>
      <c r="D35" s="50"/>
      <c r="E35" s="50"/>
      <c r="F35" s="22"/>
      <c r="G35" s="22"/>
      <c r="H35" s="22"/>
      <c r="I35" s="22"/>
      <c r="J35" s="22"/>
      <c r="K35" s="22"/>
      <c r="L35" s="22"/>
      <c r="M35" s="22"/>
    </row>
    <row r="36">
      <c r="A36" s="51" t="s">
        <v>229</v>
      </c>
      <c r="B36" s="52"/>
      <c r="C36" s="52"/>
      <c r="D36" s="52"/>
      <c r="E36" s="53"/>
      <c r="F36" s="22"/>
      <c r="G36" s="22"/>
      <c r="H36" s="22"/>
      <c r="I36" s="22"/>
      <c r="J36" s="22"/>
      <c r="K36" s="22"/>
      <c r="L36" s="22"/>
      <c r="M36" s="22"/>
    </row>
    <row r="37">
      <c r="A37" s="54" t="s">
        <v>10</v>
      </c>
      <c r="B37" s="54" t="s">
        <v>230</v>
      </c>
      <c r="C37" s="54" t="s">
        <v>231</v>
      </c>
      <c r="D37" s="54" t="s">
        <v>232</v>
      </c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6">
        <v>18</v>
      </c>
      <c r="B38" s="26">
        <v>12</v>
      </c>
      <c r="C38" s="38">
        <f>A38*B38</f>
        <v>216</v>
      </c>
      <c r="D38" s="38">
        <f>A38*A38</f>
        <v>324</v>
      </c>
      <c r="E38" s="22"/>
      <c r="F38" s="22"/>
      <c r="G38" s="22"/>
      <c r="H38" s="22"/>
      <c r="I38" s="22"/>
      <c r="J38" s="22"/>
      <c r="K38" s="22"/>
      <c r="L38" s="22"/>
      <c r="M38" s="22"/>
    </row>
    <row r="39">
      <c r="A39" s="26">
        <v>20</v>
      </c>
      <c r="B39" s="26">
        <v>15</v>
      </c>
      <c r="C39" s="38">
        <f>A39*B39</f>
        <v>300</v>
      </c>
      <c r="D39" s="38">
        <f>A39*A39</f>
        <v>400</v>
      </c>
      <c r="E39" s="22"/>
      <c r="F39" s="22"/>
      <c r="G39" s="22"/>
      <c r="H39" s="22"/>
      <c r="I39" s="22"/>
      <c r="J39" s="22"/>
      <c r="K39" s="22"/>
      <c r="L39" s="22"/>
      <c r="M39" s="22"/>
    </row>
    <row r="40">
      <c r="A40" s="26">
        <v>22</v>
      </c>
      <c r="B40" s="26">
        <v>18</v>
      </c>
      <c r="C40" s="38">
        <f>A40*B40</f>
        <v>396</v>
      </c>
      <c r="D40" s="38">
        <f>A40*A40</f>
        <v>484</v>
      </c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26">
        <v>24</v>
      </c>
      <c r="B41" s="26">
        <v>22</v>
      </c>
      <c r="C41" s="38">
        <f>A41*B41</f>
        <v>528</v>
      </c>
      <c r="D41" s="38">
        <f>A41*A41</f>
        <v>576</v>
      </c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26">
        <v>26</v>
      </c>
      <c r="B42" s="26">
        <v>28</v>
      </c>
      <c r="C42" s="38">
        <f>A42*B42</f>
        <v>728</v>
      </c>
      <c r="D42" s="38">
        <f>A42*A42</f>
        <v>676</v>
      </c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26">
        <v>28</v>
      </c>
      <c r="B43" s="26">
        <v>32</v>
      </c>
      <c r="C43" s="38">
        <f>A43*B43</f>
        <v>896</v>
      </c>
      <c r="D43" s="38">
        <f>A43*A43</f>
        <v>784</v>
      </c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6">
        <v>30</v>
      </c>
      <c r="B44" s="26">
        <v>36</v>
      </c>
      <c r="C44" s="38">
        <f>A44*B44</f>
        <v>1080</v>
      </c>
      <c r="D44" s="38">
        <f>A44*A44</f>
        <v>900</v>
      </c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6">
        <v>32</v>
      </c>
      <c r="B45" s="26">
        <v>42</v>
      </c>
      <c r="C45" s="38">
        <f>A45*B45</f>
        <v>1344</v>
      </c>
      <c r="D45" s="38">
        <f>A45*A45</f>
        <v>1024</v>
      </c>
      <c r="E45" s="22"/>
      <c r="F45" s="22"/>
      <c r="G45" s="22"/>
      <c r="H45" s="22"/>
      <c r="I45" s="22"/>
      <c r="J45" s="22"/>
      <c r="K45" s="22"/>
      <c r="L45" s="22"/>
      <c r="M45" s="22"/>
    </row>
    <row r="46">
      <c r="A46" s="26">
        <v>34</v>
      </c>
      <c r="B46" s="26">
        <v>46</v>
      </c>
      <c r="C46" s="38">
        <f>A46*B46</f>
        <v>1564</v>
      </c>
      <c r="D46" s="38">
        <f>A46*A46</f>
        <v>1156</v>
      </c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26">
        <v>36</v>
      </c>
      <c r="B47" s="26">
        <v>52</v>
      </c>
      <c r="C47" s="38">
        <f>A47*B47</f>
        <v>1872</v>
      </c>
      <c r="D47" s="38">
        <f>A47*A47</f>
        <v>1296</v>
      </c>
      <c r="E47" s="45"/>
      <c r="F47" s="22"/>
      <c r="G47" s="22"/>
      <c r="H47" s="22"/>
      <c r="I47" s="22"/>
      <c r="J47" s="22"/>
      <c r="K47" s="22"/>
      <c r="L47" s="22"/>
      <c r="M47" s="22"/>
    </row>
    <row r="48">
      <c r="A48" s="38">
        <f>SUM(A38:A47)</f>
        <v>270</v>
      </c>
      <c r="B48" s="38">
        <f>SUM(B38:B47)</f>
        <v>303</v>
      </c>
      <c r="C48" s="38">
        <f>SUM(C38:C47)</f>
        <v>8924</v>
      </c>
      <c r="D48" s="38">
        <f>SUM(D38:D47)</f>
        <v>7620</v>
      </c>
      <c r="E48" s="54" t="s">
        <v>233</v>
      </c>
      <c r="F48" s="22"/>
      <c r="G48" s="22"/>
      <c r="H48" s="22"/>
      <c r="I48" s="22"/>
      <c r="J48" s="22"/>
      <c r="K48" s="22"/>
      <c r="L48" s="22"/>
      <c r="M48" s="22"/>
    </row>
    <row r="49">
      <c r="A49" s="50"/>
      <c r="B49" s="50"/>
      <c r="C49" s="50"/>
      <c r="D49" s="50"/>
      <c r="E49" s="50"/>
      <c r="F49" s="22"/>
      <c r="G49" s="22"/>
      <c r="H49" s="22"/>
      <c r="I49" s="22"/>
      <c r="J49" s="22"/>
      <c r="K49" s="22"/>
      <c r="L49" s="22"/>
      <c r="M49" s="22"/>
    </row>
    <row r="50">
      <c r="A50" s="51" t="s">
        <v>234</v>
      </c>
      <c r="B50" s="52"/>
      <c r="C50" s="52"/>
      <c r="D50" s="52"/>
      <c r="E50" s="53"/>
      <c r="F50" s="22"/>
      <c r="G50" s="22"/>
      <c r="H50" s="22"/>
      <c r="I50" s="22"/>
      <c r="J50" s="22"/>
      <c r="K50" s="22"/>
      <c r="L50" s="22"/>
      <c r="M50" s="22"/>
    </row>
    <row r="51">
      <c r="A51" s="54" t="s">
        <v>235</v>
      </c>
      <c r="B51" s="54" t="s">
        <v>141</v>
      </c>
      <c r="C51" s="54" t="s">
        <v>62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>
      <c r="A52" s="26" t="s">
        <v>236</v>
      </c>
      <c r="B52" s="58" t="s">
        <v>237</v>
      </c>
      <c r="C52" s="62">
        <f>A48/10</f>
        <v>27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>
      <c r="A53" s="26" t="s">
        <v>238</v>
      </c>
      <c r="B53" s="58" t="s">
        <v>239</v>
      </c>
      <c r="C53" s="62">
        <f>B48/10</f>
        <v>30.300000000000001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>
      <c r="A54" s="26" t="s">
        <v>240</v>
      </c>
      <c r="B54" s="58" t="s">
        <v>241</v>
      </c>
      <c r="C54" s="62">
        <f>D48-(A48^2/10)</f>
        <v>330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6" t="s">
        <v>242</v>
      </c>
      <c r="B55" s="58" t="s">
        <v>243</v>
      </c>
      <c r="C55" s="62">
        <f>C48-(A48*B48/10)</f>
        <v>743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6" t="s">
        <v>244</v>
      </c>
      <c r="B56" s="58" t="s">
        <v>245</v>
      </c>
      <c r="C56" s="62">
        <f>C55/C54</f>
        <v>2.2515151515151515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>
      <c r="A57" s="26" t="s">
        <v>246</v>
      </c>
      <c r="B57" s="58" t="s">
        <v>247</v>
      </c>
      <c r="C57" s="62">
        <f>C53-C56*C52</f>
        <v>-30.490909090909089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30" t="s">
        <v>248</v>
      </c>
      <c r="B58" s="58" t="s">
        <v>249</v>
      </c>
      <c r="C58" s="38" t="str">
        <f>CONCATENATE("y = ",TEXT(C57,"0.0000")," + ",TEXT(C56,"0.0000"),"*x")</f>
        <v xml:space="preserve">y = -30.4909 + 2.2515*x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23" t="s">
        <v>253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2"/>
    </row>
    <row r="62">
      <c r="A62" s="54" t="s">
        <v>254</v>
      </c>
      <c r="B62" s="54" t="s">
        <v>255</v>
      </c>
      <c r="C62" s="37"/>
      <c r="D62" s="41"/>
      <c r="E62" s="41"/>
      <c r="F62" s="41"/>
      <c r="G62" s="22"/>
      <c r="H62" s="22"/>
      <c r="I62" s="22"/>
      <c r="J62" s="22"/>
      <c r="K62" s="22"/>
      <c r="L62" s="22"/>
      <c r="M62" s="22"/>
    </row>
    <row r="63">
      <c r="A63" s="26">
        <v>120</v>
      </c>
      <c r="B63" s="26">
        <v>78.200000000000003</v>
      </c>
      <c r="C63" s="25"/>
      <c r="D63" s="51" t="s">
        <v>256</v>
      </c>
      <c r="E63" s="52"/>
      <c r="F63" s="53"/>
      <c r="G63" s="22"/>
      <c r="H63" s="22"/>
      <c r="I63" s="22"/>
      <c r="J63" s="22"/>
      <c r="K63" s="22"/>
      <c r="L63" s="22"/>
      <c r="M63" s="22"/>
    </row>
    <row r="64">
      <c r="A64" s="26">
        <v>95</v>
      </c>
      <c r="B64" s="26">
        <v>76.5</v>
      </c>
      <c r="C64" s="25"/>
      <c r="D64" s="54" t="s">
        <v>235</v>
      </c>
      <c r="E64" s="54" t="s">
        <v>62</v>
      </c>
      <c r="F64" s="22"/>
      <c r="G64" s="22"/>
      <c r="H64" s="22"/>
      <c r="I64" s="22"/>
      <c r="J64" s="22"/>
      <c r="K64" s="22"/>
      <c r="L64" s="22"/>
      <c r="M64" s="22"/>
    </row>
    <row r="65">
      <c r="A65" s="26">
        <v>210</v>
      </c>
      <c r="B65" s="26">
        <v>82.099999999999994</v>
      </c>
      <c r="C65" s="25"/>
      <c r="D65" s="26" t="s">
        <v>257</v>
      </c>
      <c r="E65" s="62">
        <f>COUNT(A63:A81)</f>
        <v>19</v>
      </c>
      <c r="F65" s="22"/>
      <c r="G65" s="22"/>
      <c r="H65" s="22"/>
      <c r="I65" s="22"/>
      <c r="J65" s="22"/>
      <c r="K65" s="22"/>
      <c r="L65" s="22"/>
      <c r="M65" s="22"/>
    </row>
    <row r="66">
      <c r="A66" s="26">
        <v>155</v>
      </c>
      <c r="B66" s="26">
        <v>79.799999999999997</v>
      </c>
      <c r="C66" s="25"/>
      <c r="D66" s="26" t="s">
        <v>236</v>
      </c>
      <c r="E66" s="62">
        <f>AVERAGE(A63:A81)</f>
        <v>142.78947368421052</v>
      </c>
      <c r="F66" s="22"/>
      <c r="G66" s="22"/>
      <c r="H66" s="22"/>
      <c r="I66" s="22"/>
      <c r="J66" s="22"/>
      <c r="K66" s="22"/>
      <c r="L66" s="22"/>
      <c r="M66" s="22"/>
    </row>
    <row r="67">
      <c r="A67" s="26">
        <v>148</v>
      </c>
      <c r="B67" s="26">
        <v>79.5</v>
      </c>
      <c r="C67" s="25"/>
      <c r="D67" s="26" t="s">
        <v>238</v>
      </c>
      <c r="E67" s="62">
        <f>AVERAGE(B63:B81)</f>
        <v>79.031578947368416</v>
      </c>
      <c r="F67" s="22"/>
      <c r="G67" s="22"/>
      <c r="H67" s="22"/>
      <c r="I67" s="22"/>
      <c r="J67" s="22"/>
      <c r="K67" s="22"/>
      <c r="L67" s="22"/>
      <c r="M67" s="22"/>
    </row>
    <row r="68">
      <c r="A68" s="26">
        <v>110</v>
      </c>
      <c r="B68" s="26">
        <v>77.400000000000006</v>
      </c>
      <c r="C68" s="25"/>
      <c r="D68" s="26" t="s">
        <v>244</v>
      </c>
      <c r="E68" s="62">
        <f>SLOPE(B63:B81,A63:A81)</f>
        <v>4.9815160087437277e-02</v>
      </c>
      <c r="F68" s="22"/>
      <c r="G68" s="22"/>
      <c r="H68" s="22"/>
      <c r="I68" s="22"/>
      <c r="J68" s="22"/>
      <c r="K68" s="22"/>
      <c r="L68" s="22"/>
      <c r="M68" s="22"/>
    </row>
    <row r="69">
      <c r="A69" s="26">
        <v>125</v>
      </c>
      <c r="B69" s="26">
        <v>78</v>
      </c>
      <c r="C69" s="25"/>
      <c r="D69" s="26" t="s">
        <v>246</v>
      </c>
      <c r="E69" s="62">
        <f>INTERCEPT(B63:B81,A63:A81)</f>
        <v>71.918498456988559</v>
      </c>
      <c r="F69" s="22"/>
      <c r="G69" s="22"/>
      <c r="H69" s="22"/>
      <c r="I69" s="22"/>
      <c r="J69" s="22"/>
      <c r="K69" s="22"/>
      <c r="L69" s="22"/>
      <c r="M69" s="22"/>
    </row>
    <row r="70">
      <c r="A70" s="26">
        <v>165</v>
      </c>
      <c r="B70" s="26">
        <v>80.5</v>
      </c>
      <c r="C70" s="25"/>
      <c r="D70" s="26" t="s">
        <v>258</v>
      </c>
      <c r="E70" s="62">
        <f>CORREL(A63:A81,B63:B81)</f>
        <v>0.96978283378256902</v>
      </c>
      <c r="F70" s="22"/>
      <c r="G70" s="22"/>
      <c r="H70" s="22"/>
      <c r="I70" s="22"/>
      <c r="J70" s="22"/>
      <c r="K70" s="22"/>
      <c r="L70" s="22"/>
      <c r="M70" s="22"/>
    </row>
    <row r="71">
      <c r="A71" s="26">
        <v>180</v>
      </c>
      <c r="B71" s="26">
        <v>81.200000000000003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6">
        <v>160</v>
      </c>
      <c r="B72" s="26">
        <v>80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>
      <c r="A73" s="26">
        <v>145</v>
      </c>
      <c r="B73" s="26">
        <v>78.799999999999997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26">
        <v>78</v>
      </c>
      <c r="B74" s="26">
        <v>76.200000000000003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26">
        <v>150</v>
      </c>
      <c r="B75" s="26">
        <v>78.5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26">
        <v>140</v>
      </c>
      <c r="B76" s="26">
        <v>79.200000000000003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26">
        <v>128</v>
      </c>
      <c r="B77" s="26">
        <v>78.099999999999994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>
      <c r="A78" s="26">
        <v>195</v>
      </c>
      <c r="B78" s="26">
        <v>82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>
      <c r="A79" s="26">
        <v>135</v>
      </c>
      <c r="B79" s="26">
        <v>77.599999999999994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>
      <c r="A80" s="26">
        <v>162</v>
      </c>
      <c r="B80" s="26">
        <v>80.200000000000003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26">
        <v>112</v>
      </c>
      <c r="B81" s="26">
        <v>77.799999999999997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>
      <c r="A84" s="23" t="s">
        <v>259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2"/>
    </row>
    <row r="85">
      <c r="A85" s="54" t="s">
        <v>260</v>
      </c>
      <c r="B85" s="54">
        <v>52</v>
      </c>
      <c r="C85" s="54">
        <v>63</v>
      </c>
      <c r="D85" s="54">
        <v>45</v>
      </c>
      <c r="E85" s="54">
        <v>68</v>
      </c>
      <c r="F85" s="54">
        <v>55</v>
      </c>
      <c r="G85" s="54">
        <v>71</v>
      </c>
      <c r="H85" s="54">
        <v>49</v>
      </c>
      <c r="I85" s="54">
        <v>58</v>
      </c>
      <c r="J85" s="54">
        <v>66</v>
      </c>
      <c r="K85" s="54">
        <v>73</v>
      </c>
      <c r="L85" s="37"/>
      <c r="M85" s="22"/>
    </row>
    <row r="86">
      <c r="A86" s="54" t="s">
        <v>261</v>
      </c>
      <c r="B86" s="26">
        <v>128</v>
      </c>
      <c r="C86" s="26">
        <v>145</v>
      </c>
      <c r="D86" s="26">
        <v>118</v>
      </c>
      <c r="E86" s="26">
        <v>152</v>
      </c>
      <c r="F86" s="26">
        <v>132</v>
      </c>
      <c r="G86" s="26">
        <v>158</v>
      </c>
      <c r="H86" s="26">
        <v>122</v>
      </c>
      <c r="I86" s="26">
        <v>138</v>
      </c>
      <c r="J86" s="26">
        <v>148</v>
      </c>
      <c r="K86" s="26">
        <v>162</v>
      </c>
      <c r="L86" s="22"/>
      <c r="M86" s="22"/>
    </row>
    <row r="87">
      <c r="A87" s="50"/>
      <c r="B87" s="50"/>
      <c r="C87" s="50"/>
      <c r="D87" s="50"/>
      <c r="E87" s="50"/>
      <c r="F87" s="22"/>
      <c r="G87" s="22"/>
      <c r="H87" s="22"/>
      <c r="I87" s="22"/>
      <c r="J87" s="22"/>
      <c r="K87" s="22"/>
      <c r="L87" s="22"/>
      <c r="M87" s="22"/>
    </row>
    <row r="88">
      <c r="A88" s="51" t="s">
        <v>229</v>
      </c>
      <c r="B88" s="52"/>
      <c r="C88" s="52"/>
      <c r="D88" s="52"/>
      <c r="E88" s="53"/>
      <c r="F88" s="22"/>
      <c r="G88" s="22"/>
      <c r="H88" s="22"/>
      <c r="I88" s="22"/>
      <c r="J88" s="22"/>
      <c r="K88" s="22"/>
      <c r="L88" s="22"/>
      <c r="M88" s="22"/>
    </row>
    <row r="89">
      <c r="A89" s="54" t="s">
        <v>10</v>
      </c>
      <c r="B89" s="54" t="s">
        <v>230</v>
      </c>
      <c r="C89" s="54" t="s">
        <v>231</v>
      </c>
      <c r="D89" s="54" t="s">
        <v>232</v>
      </c>
      <c r="E89" s="22"/>
      <c r="F89" s="22"/>
      <c r="G89" s="22"/>
      <c r="H89" s="22"/>
      <c r="I89" s="22"/>
      <c r="J89" s="22"/>
      <c r="K89" s="22"/>
      <c r="L89" s="22"/>
      <c r="M89" s="22"/>
    </row>
    <row r="90">
      <c r="A90" s="26">
        <v>52</v>
      </c>
      <c r="B90" s="26">
        <v>128</v>
      </c>
      <c r="C90" s="38">
        <f>A90*B90</f>
        <v>6656</v>
      </c>
      <c r="D90" s="38">
        <f>A90*A90</f>
        <v>2704</v>
      </c>
      <c r="E90" s="22"/>
      <c r="F90" s="22"/>
      <c r="G90" s="22"/>
      <c r="H90" s="22"/>
      <c r="I90" s="22"/>
      <c r="J90" s="22"/>
      <c r="K90" s="22"/>
      <c r="L90" s="22"/>
      <c r="M90" s="22"/>
    </row>
    <row r="91">
      <c r="A91" s="26">
        <v>63</v>
      </c>
      <c r="B91" s="26">
        <v>145</v>
      </c>
      <c r="C91" s="38">
        <f>A91*B91</f>
        <v>9135</v>
      </c>
      <c r="D91" s="38">
        <f>A91*A91</f>
        <v>3969</v>
      </c>
      <c r="E91" s="22"/>
      <c r="F91" s="22"/>
      <c r="G91" s="22"/>
      <c r="H91" s="22"/>
      <c r="I91" s="22"/>
      <c r="J91" s="22"/>
      <c r="K91" s="22"/>
      <c r="L91" s="22"/>
      <c r="M91" s="22"/>
    </row>
    <row r="92">
      <c r="A92" s="26">
        <v>45</v>
      </c>
      <c r="B92" s="26">
        <v>118</v>
      </c>
      <c r="C92" s="38">
        <f>A92*B92</f>
        <v>5310</v>
      </c>
      <c r="D92" s="38">
        <f>A92*A92</f>
        <v>2025</v>
      </c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26">
        <v>68</v>
      </c>
      <c r="B93" s="26">
        <v>152</v>
      </c>
      <c r="C93" s="38">
        <f>A93*B93</f>
        <v>10336</v>
      </c>
      <c r="D93" s="38">
        <f>A93*A93</f>
        <v>4624</v>
      </c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26">
        <v>55</v>
      </c>
      <c r="B94" s="26">
        <v>132</v>
      </c>
      <c r="C94" s="38">
        <f>A94*B94</f>
        <v>7260</v>
      </c>
      <c r="D94" s="38">
        <f>A94*A94</f>
        <v>3025</v>
      </c>
      <c r="E94" s="22"/>
      <c r="F94" s="22"/>
      <c r="G94" s="22"/>
      <c r="H94" s="22"/>
      <c r="I94" s="22"/>
      <c r="J94" s="22"/>
      <c r="K94" s="22"/>
      <c r="L94" s="22"/>
      <c r="M94" s="22"/>
    </row>
    <row r="95">
      <c r="A95" s="26">
        <v>71</v>
      </c>
      <c r="B95" s="26">
        <v>158</v>
      </c>
      <c r="C95" s="38">
        <f>A95*B95</f>
        <v>11218</v>
      </c>
      <c r="D95" s="38">
        <f>A95*A95</f>
        <v>5041</v>
      </c>
      <c r="E95" s="22"/>
      <c r="F95" s="22"/>
      <c r="G95" s="22"/>
      <c r="H95" s="22"/>
      <c r="I95" s="22"/>
      <c r="J95" s="22"/>
      <c r="K95" s="22"/>
      <c r="L95" s="22"/>
      <c r="M95" s="22"/>
    </row>
    <row r="96">
      <c r="A96" s="26">
        <v>49</v>
      </c>
      <c r="B96" s="26">
        <v>122</v>
      </c>
      <c r="C96" s="38">
        <f>A96*B96</f>
        <v>5978</v>
      </c>
      <c r="D96" s="38">
        <f>A96*A96</f>
        <v>2401</v>
      </c>
      <c r="E96" s="22"/>
      <c r="F96" s="22"/>
      <c r="G96" s="22"/>
      <c r="H96" s="22"/>
      <c r="I96" s="22"/>
      <c r="J96" s="22"/>
      <c r="K96" s="22"/>
      <c r="L96" s="22"/>
      <c r="M96" s="22"/>
    </row>
    <row r="97">
      <c r="A97" s="26">
        <v>58</v>
      </c>
      <c r="B97" s="26">
        <v>138</v>
      </c>
      <c r="C97" s="38">
        <f>A97*B97</f>
        <v>8004</v>
      </c>
      <c r="D97" s="38">
        <f>A97*A97</f>
        <v>3364</v>
      </c>
      <c r="E97" s="22"/>
      <c r="F97" s="22"/>
      <c r="G97" s="22"/>
      <c r="H97" s="22"/>
      <c r="I97" s="22"/>
      <c r="J97" s="22"/>
      <c r="K97" s="22"/>
      <c r="L97" s="22"/>
      <c r="M97" s="22"/>
    </row>
    <row r="98">
      <c r="A98" s="26">
        <v>66</v>
      </c>
      <c r="B98" s="26">
        <v>148</v>
      </c>
      <c r="C98" s="38">
        <f>A98*B98</f>
        <v>9768</v>
      </c>
      <c r="D98" s="38">
        <f>A98*A98</f>
        <v>4356</v>
      </c>
      <c r="E98" s="22"/>
      <c r="F98" s="22"/>
      <c r="G98" s="22"/>
      <c r="H98" s="22"/>
      <c r="I98" s="22"/>
      <c r="J98" s="22"/>
      <c r="K98" s="22"/>
      <c r="L98" s="22"/>
      <c r="M98" s="22"/>
    </row>
    <row r="99">
      <c r="A99" s="26">
        <v>73</v>
      </c>
      <c r="B99" s="26">
        <v>162</v>
      </c>
      <c r="C99" s="38">
        <f>A99*B99</f>
        <v>11826</v>
      </c>
      <c r="D99" s="38">
        <f>A99*A99</f>
        <v>5329</v>
      </c>
      <c r="E99" s="45"/>
      <c r="F99" s="22"/>
      <c r="G99" s="22"/>
      <c r="H99" s="22"/>
      <c r="I99" s="22"/>
      <c r="J99" s="22"/>
      <c r="K99" s="22"/>
      <c r="L99" s="22"/>
      <c r="M99" s="22"/>
    </row>
    <row r="100">
      <c r="A100" s="38">
        <f>SUM(A90:A99)</f>
        <v>600</v>
      </c>
      <c r="B100" s="38">
        <f>SUM(B90:B99)</f>
        <v>1403</v>
      </c>
      <c r="C100" s="38">
        <f>SUM(C90:C99)</f>
        <v>85491</v>
      </c>
      <c r="D100" s="38">
        <f>SUM(D90:D99)</f>
        <v>36838</v>
      </c>
      <c r="E100" s="54" t="s">
        <v>233</v>
      </c>
      <c r="F100" s="22"/>
      <c r="G100" s="22"/>
      <c r="H100" s="22"/>
      <c r="I100" s="22"/>
      <c r="J100" s="22"/>
      <c r="K100" s="22"/>
      <c r="L100" s="22"/>
      <c r="M100" s="22"/>
    </row>
    <row r="101">
      <c r="A101" s="50"/>
      <c r="B101" s="50"/>
      <c r="C101" s="50"/>
      <c r="D101" s="50"/>
      <c r="E101" s="50"/>
      <c r="F101" s="22"/>
      <c r="G101" s="22"/>
      <c r="H101" s="22"/>
      <c r="I101" s="22"/>
      <c r="J101" s="22"/>
      <c r="K101" s="22"/>
      <c r="L101" s="22"/>
      <c r="M101" s="22"/>
    </row>
    <row r="102">
      <c r="A102" s="51" t="s">
        <v>234</v>
      </c>
      <c r="B102" s="52"/>
      <c r="C102" s="52"/>
      <c r="D102" s="52"/>
      <c r="E102" s="53"/>
      <c r="F102" s="22"/>
      <c r="G102" s="22"/>
      <c r="H102" s="22"/>
      <c r="I102" s="22"/>
      <c r="J102" s="22"/>
      <c r="K102" s="22"/>
      <c r="L102" s="22"/>
      <c r="M102" s="22"/>
    </row>
    <row r="103">
      <c r="A103" s="54" t="s">
        <v>235</v>
      </c>
      <c r="B103" s="54" t="s">
        <v>141</v>
      </c>
      <c r="C103" s="54" t="s">
        <v>62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>
      <c r="A104" s="26" t="s">
        <v>236</v>
      </c>
      <c r="B104" s="58" t="s">
        <v>237</v>
      </c>
      <c r="C104" s="62">
        <f>A100/10</f>
        <v>60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>
      <c r="A105" s="26" t="s">
        <v>238</v>
      </c>
      <c r="B105" s="58" t="s">
        <v>239</v>
      </c>
      <c r="C105" s="62">
        <f>B100/10</f>
        <v>140.30000000000001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>
      <c r="A106" s="26" t="s">
        <v>240</v>
      </c>
      <c r="B106" s="58" t="s">
        <v>241</v>
      </c>
      <c r="C106" s="62">
        <f>D100-(A100^2/10)</f>
        <v>838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>
      <c r="A107" s="26" t="s">
        <v>242</v>
      </c>
      <c r="B107" s="58" t="s">
        <v>243</v>
      </c>
      <c r="C107" s="62">
        <f>C100-(A100*B100/10)</f>
        <v>1311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>
      <c r="A108" s="26" t="s">
        <v>244</v>
      </c>
      <c r="B108" s="58" t="s">
        <v>245</v>
      </c>
      <c r="C108" s="62">
        <f>C107/C106</f>
        <v>1.5644391408114557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>
      <c r="A109" s="26" t="s">
        <v>246</v>
      </c>
      <c r="B109" s="58" t="s">
        <v>247</v>
      </c>
      <c r="C109" s="62">
        <f>C105-C108*C104</f>
        <v>46.433651551312664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>
      <c r="A110" s="30" t="s">
        <v>248</v>
      </c>
      <c r="B110" s="58" t="s">
        <v>249</v>
      </c>
      <c r="C110" s="38" t="str">
        <f>CONCATENATE("y = ",TEXT(C109,"0.0000")," + ",TEXT(C108,"0.0000"),"*x")</f>
        <v xml:space="preserve">y = 46.4337 + 1.5644*x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>
      <c r="A113" s="23" t="s">
        <v>262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2"/>
    </row>
    <row r="114">
      <c r="A114" s="54" t="s">
        <v>263</v>
      </c>
      <c r="B114" s="54">
        <v>40</v>
      </c>
      <c r="C114" s="54">
        <v>55</v>
      </c>
      <c r="D114" s="54">
        <v>60</v>
      </c>
      <c r="E114" s="54">
        <v>72</v>
      </c>
      <c r="F114" s="54">
        <v>68</v>
      </c>
      <c r="G114" s="54">
        <v>80</v>
      </c>
      <c r="H114" s="54">
        <v>88</v>
      </c>
      <c r="I114" s="54">
        <v>95</v>
      </c>
      <c r="J114" s="54">
        <v>105</v>
      </c>
      <c r="K114" s="54">
        <v>112</v>
      </c>
      <c r="L114" s="37"/>
      <c r="M114" s="22"/>
    </row>
    <row r="115">
      <c r="A115" s="54" t="s">
        <v>264</v>
      </c>
      <c r="B115" s="26">
        <v>42</v>
      </c>
      <c r="C115" s="26">
        <v>58</v>
      </c>
      <c r="D115" s="26">
        <v>55</v>
      </c>
      <c r="E115" s="26">
        <v>65</v>
      </c>
      <c r="F115" s="26">
        <v>80</v>
      </c>
      <c r="G115" s="26">
        <v>76</v>
      </c>
      <c r="H115" s="26">
        <v>88</v>
      </c>
      <c r="I115" s="26">
        <v>98</v>
      </c>
      <c r="J115" s="26">
        <v>112</v>
      </c>
      <c r="K115" s="26">
        <v>118</v>
      </c>
      <c r="L115" s="22"/>
      <c r="M115" s="22"/>
    </row>
    <row r="116">
      <c r="A116" s="50"/>
      <c r="B116" s="50"/>
      <c r="C116" s="50"/>
      <c r="D116" s="50"/>
      <c r="E116" s="50"/>
      <c r="F116" s="22"/>
      <c r="G116" s="22"/>
      <c r="H116" s="22"/>
      <c r="I116" s="22"/>
      <c r="J116" s="22"/>
      <c r="K116" s="22"/>
      <c r="L116" s="22"/>
      <c r="M116" s="22"/>
    </row>
    <row r="117">
      <c r="A117" s="51" t="s">
        <v>229</v>
      </c>
      <c r="B117" s="52"/>
      <c r="C117" s="52"/>
      <c r="D117" s="52"/>
      <c r="E117" s="53"/>
      <c r="F117" s="22"/>
      <c r="G117" s="22"/>
      <c r="H117" s="22"/>
      <c r="I117" s="22"/>
      <c r="J117" s="22"/>
      <c r="K117" s="22"/>
      <c r="L117" s="22"/>
      <c r="M117" s="22"/>
    </row>
    <row r="118">
      <c r="A118" s="54" t="s">
        <v>10</v>
      </c>
      <c r="B118" s="54" t="s">
        <v>230</v>
      </c>
      <c r="C118" s="54" t="s">
        <v>231</v>
      </c>
      <c r="D118" s="54" t="s">
        <v>232</v>
      </c>
      <c r="E118" s="22"/>
      <c r="F118" s="22"/>
      <c r="G118" s="22"/>
      <c r="H118" s="22"/>
      <c r="I118" s="22"/>
      <c r="J118" s="22"/>
      <c r="K118" s="22"/>
      <c r="L118" s="22"/>
      <c r="M118" s="22"/>
    </row>
    <row r="119">
      <c r="A119" s="26">
        <v>40</v>
      </c>
      <c r="B119" s="26">
        <v>42</v>
      </c>
      <c r="C119" s="38">
        <f>A119*B119</f>
        <v>1680</v>
      </c>
      <c r="D119" s="38">
        <f>A119*A119</f>
        <v>1600</v>
      </c>
      <c r="E119" s="22"/>
      <c r="F119" s="22"/>
      <c r="G119" s="22"/>
      <c r="H119" s="22"/>
      <c r="I119" s="22"/>
      <c r="J119" s="22"/>
      <c r="K119" s="22"/>
      <c r="L119" s="22"/>
      <c r="M119" s="22"/>
    </row>
    <row r="120">
      <c r="A120" s="26">
        <v>55</v>
      </c>
      <c r="B120" s="26">
        <v>58</v>
      </c>
      <c r="C120" s="38">
        <f>A120*B120</f>
        <v>3190</v>
      </c>
      <c r="D120" s="38">
        <f>A120*A120</f>
        <v>3025</v>
      </c>
      <c r="E120" s="22"/>
      <c r="F120" s="22"/>
      <c r="G120" s="22"/>
      <c r="H120" s="22"/>
      <c r="I120" s="22"/>
      <c r="J120" s="22"/>
      <c r="K120" s="22"/>
      <c r="L120" s="22"/>
      <c r="M120" s="22"/>
    </row>
    <row r="121">
      <c r="A121" s="26">
        <v>60</v>
      </c>
      <c r="B121" s="26">
        <v>55</v>
      </c>
      <c r="C121" s="38">
        <f>A121*B121</f>
        <v>3300</v>
      </c>
      <c r="D121" s="38">
        <f>A121*A121</f>
        <v>3600</v>
      </c>
      <c r="E121" s="22"/>
      <c r="F121" s="22"/>
      <c r="G121" s="22"/>
      <c r="H121" s="22"/>
      <c r="I121" s="22"/>
      <c r="J121" s="22"/>
      <c r="K121" s="22"/>
      <c r="L121" s="22"/>
      <c r="M121" s="22"/>
    </row>
    <row r="122">
      <c r="A122" s="26">
        <v>72</v>
      </c>
      <c r="B122" s="26">
        <v>65</v>
      </c>
      <c r="C122" s="38">
        <f>A122*B122</f>
        <v>4680</v>
      </c>
      <c r="D122" s="38">
        <f>A122*A122</f>
        <v>5184</v>
      </c>
      <c r="E122" s="22"/>
      <c r="F122" s="22"/>
      <c r="G122" s="22"/>
      <c r="H122" s="22"/>
      <c r="I122" s="22"/>
      <c r="J122" s="22"/>
      <c r="K122" s="22"/>
      <c r="L122" s="22"/>
      <c r="M122" s="22"/>
    </row>
    <row r="123">
      <c r="A123" s="26">
        <v>68</v>
      </c>
      <c r="B123" s="26">
        <v>80</v>
      </c>
      <c r="C123" s="38">
        <f>A123*B123</f>
        <v>5440</v>
      </c>
      <c r="D123" s="38">
        <f>A123*A123</f>
        <v>4624</v>
      </c>
      <c r="E123" s="22"/>
      <c r="F123" s="22"/>
      <c r="G123" s="22"/>
      <c r="H123" s="22"/>
      <c r="I123" s="22"/>
      <c r="J123" s="22"/>
      <c r="K123" s="22"/>
      <c r="L123" s="22"/>
      <c r="M123" s="22"/>
    </row>
    <row r="124">
      <c r="A124" s="26">
        <v>80</v>
      </c>
      <c r="B124" s="26">
        <v>76</v>
      </c>
      <c r="C124" s="38">
        <f>A124*B124</f>
        <v>6080</v>
      </c>
      <c r="D124" s="38">
        <f>A124*A124</f>
        <v>6400</v>
      </c>
      <c r="E124" s="22"/>
      <c r="F124" s="22"/>
      <c r="G124" s="22"/>
      <c r="H124" s="22"/>
      <c r="I124" s="22"/>
      <c r="J124" s="22"/>
      <c r="K124" s="22"/>
      <c r="L124" s="22"/>
      <c r="M124" s="22"/>
    </row>
    <row r="125">
      <c r="A125" s="26">
        <v>88</v>
      </c>
      <c r="B125" s="26">
        <v>88</v>
      </c>
      <c r="C125" s="38">
        <f>A125*B125</f>
        <v>7744</v>
      </c>
      <c r="D125" s="38">
        <f>A125*A125</f>
        <v>7744</v>
      </c>
      <c r="E125" s="22"/>
      <c r="F125" s="22"/>
      <c r="G125" s="22"/>
      <c r="H125" s="22"/>
      <c r="I125" s="22"/>
      <c r="J125" s="22"/>
      <c r="K125" s="22"/>
      <c r="L125" s="22"/>
      <c r="M125" s="22"/>
    </row>
    <row r="126">
      <c r="A126" s="26">
        <v>95</v>
      </c>
      <c r="B126" s="26">
        <v>98</v>
      </c>
      <c r="C126" s="38">
        <f>A126*B126</f>
        <v>9310</v>
      </c>
      <c r="D126" s="38">
        <f>A126*A126</f>
        <v>9025</v>
      </c>
      <c r="E126" s="22"/>
      <c r="F126" s="22"/>
      <c r="G126" s="22"/>
      <c r="H126" s="22"/>
      <c r="I126" s="22"/>
      <c r="J126" s="22"/>
      <c r="K126" s="22"/>
      <c r="L126" s="22"/>
      <c r="M126" s="22"/>
    </row>
    <row r="127">
      <c r="A127" s="26">
        <v>105</v>
      </c>
      <c r="B127" s="26">
        <v>112</v>
      </c>
      <c r="C127" s="38">
        <f>A127*B127</f>
        <v>11760</v>
      </c>
      <c r="D127" s="38">
        <f>A127*A127</f>
        <v>11025</v>
      </c>
      <c r="E127" s="22"/>
      <c r="F127" s="22"/>
      <c r="G127" s="22"/>
      <c r="H127" s="22"/>
      <c r="I127" s="22"/>
      <c r="J127" s="22"/>
      <c r="K127" s="22"/>
      <c r="L127" s="22"/>
      <c r="M127" s="22"/>
    </row>
    <row r="128">
      <c r="A128" s="26">
        <v>112</v>
      </c>
      <c r="B128" s="26">
        <v>118</v>
      </c>
      <c r="C128" s="38">
        <f>A128*B128</f>
        <v>13216</v>
      </c>
      <c r="D128" s="38">
        <f>A128*A128</f>
        <v>12544</v>
      </c>
      <c r="E128" s="45"/>
      <c r="F128" s="22"/>
      <c r="G128" s="22"/>
      <c r="H128" s="22"/>
      <c r="I128" s="22"/>
      <c r="J128" s="22"/>
      <c r="K128" s="22"/>
      <c r="L128" s="22"/>
      <c r="M128" s="22"/>
    </row>
    <row r="129">
      <c r="A129" s="38">
        <f>SUM(A119:A128)</f>
        <v>775</v>
      </c>
      <c r="B129" s="38">
        <f>SUM(B119:B128)</f>
        <v>792</v>
      </c>
      <c r="C129" s="38">
        <f>SUM(C119:C128)</f>
        <v>66400</v>
      </c>
      <c r="D129" s="38">
        <f>SUM(D119:D128)</f>
        <v>64771</v>
      </c>
      <c r="E129" s="54" t="s">
        <v>233</v>
      </c>
      <c r="F129" s="22"/>
      <c r="G129" s="22"/>
      <c r="H129" s="22"/>
      <c r="I129" s="22"/>
      <c r="J129" s="22"/>
      <c r="K129" s="22"/>
      <c r="L129" s="22"/>
      <c r="M129" s="22"/>
    </row>
    <row r="130">
      <c r="A130" s="50"/>
      <c r="B130" s="50"/>
      <c r="C130" s="50"/>
      <c r="D130" s="50"/>
      <c r="E130" s="50"/>
      <c r="F130" s="22"/>
      <c r="G130" s="22"/>
      <c r="H130" s="22"/>
      <c r="I130" s="22"/>
      <c r="J130" s="22"/>
      <c r="K130" s="22"/>
      <c r="L130" s="22"/>
      <c r="M130" s="22"/>
    </row>
    <row r="131">
      <c r="A131" s="51" t="s">
        <v>234</v>
      </c>
      <c r="B131" s="52"/>
      <c r="C131" s="52"/>
      <c r="D131" s="52"/>
      <c r="E131" s="53"/>
      <c r="F131" s="22"/>
      <c r="G131" s="22"/>
      <c r="H131" s="22"/>
      <c r="I131" s="22"/>
      <c r="J131" s="22"/>
      <c r="K131" s="22"/>
      <c r="L131" s="22"/>
      <c r="M131" s="22"/>
    </row>
    <row r="132">
      <c r="A132" s="54" t="s">
        <v>235</v>
      </c>
      <c r="B132" s="54" t="s">
        <v>141</v>
      </c>
      <c r="C132" s="54" t="s">
        <v>62</v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>
      <c r="A133" s="26" t="s">
        <v>236</v>
      </c>
      <c r="B133" s="58" t="s">
        <v>237</v>
      </c>
      <c r="C133" s="62">
        <f>A129/10</f>
        <v>77.5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>
      <c r="A134" s="26" t="s">
        <v>238</v>
      </c>
      <c r="B134" s="58" t="s">
        <v>239</v>
      </c>
      <c r="C134" s="62">
        <f>B129/10</f>
        <v>79.200000000000003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>
      <c r="A135" s="26" t="s">
        <v>240</v>
      </c>
      <c r="B135" s="58" t="s">
        <v>241</v>
      </c>
      <c r="C135" s="62">
        <f>D129-(A129^2/10)</f>
        <v>4708.5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>
      <c r="A136" s="26" t="s">
        <v>242</v>
      </c>
      <c r="B136" s="58" t="s">
        <v>243</v>
      </c>
      <c r="C136" s="62">
        <f>C129-(A129*B129/10)</f>
        <v>5020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>
      <c r="A137" s="26" t="s">
        <v>244</v>
      </c>
      <c r="B137" s="58" t="s">
        <v>245</v>
      </c>
      <c r="C137" s="62">
        <f>C136/C135</f>
        <v>1.0661569501964532</v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>
      <c r="A138" s="26" t="s">
        <v>246</v>
      </c>
      <c r="B138" s="58" t="s">
        <v>247</v>
      </c>
      <c r="C138" s="62">
        <f>C134-C137*C133</f>
        <v>-3.4271636402251175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>
      <c r="A139" s="30" t="s">
        <v>248</v>
      </c>
      <c r="B139" s="58" t="s">
        <v>249</v>
      </c>
      <c r="C139" s="38" t="str">
        <f>CONCATENATE("y = ",TEXT(C138,"0.0000")," + ",TEXT(C137,"0.0000"),"*x")</f>
        <v xml:space="preserve">y = -3.4272 + 1.0662*x</v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>
      <c r="A142" s="23" t="s">
        <v>265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2"/>
    </row>
    <row r="143">
      <c r="A143" s="54" t="s">
        <v>266</v>
      </c>
      <c r="B143" s="54">
        <v>52</v>
      </c>
      <c r="C143" s="54">
        <v>58</v>
      </c>
      <c r="D143" s="54">
        <v>65</v>
      </c>
      <c r="E143" s="54">
        <v>70</v>
      </c>
      <c r="F143" s="54">
        <v>76</v>
      </c>
      <c r="G143" s="54">
        <v>80</v>
      </c>
      <c r="H143" s="54">
        <v>88</v>
      </c>
      <c r="I143" s="37"/>
      <c r="J143" s="22"/>
      <c r="K143" s="22"/>
      <c r="L143" s="22"/>
      <c r="M143" s="22"/>
    </row>
    <row r="144">
      <c r="A144" s="54" t="s">
        <v>267</v>
      </c>
      <c r="B144" s="26">
        <v>112</v>
      </c>
      <c r="C144" s="26">
        <v>178</v>
      </c>
      <c r="D144" s="26">
        <v>240</v>
      </c>
      <c r="E144" s="26">
        <v>205</v>
      </c>
      <c r="F144" s="26">
        <v>198</v>
      </c>
      <c r="G144" s="26">
        <v>136</v>
      </c>
      <c r="H144" s="26">
        <v>130</v>
      </c>
      <c r="I144" s="22"/>
      <c r="J144" s="22"/>
      <c r="K144" s="22"/>
      <c r="L144" s="22"/>
      <c r="M144" s="22"/>
    </row>
    <row r="145">
      <c r="A145" s="50"/>
      <c r="B145" s="50"/>
      <c r="C145" s="50"/>
      <c r="D145" s="50"/>
      <c r="E145" s="50"/>
      <c r="F145" s="22"/>
      <c r="G145" s="22"/>
      <c r="H145" s="22"/>
      <c r="I145" s="22"/>
      <c r="J145" s="22"/>
      <c r="K145" s="22"/>
      <c r="L145" s="22"/>
      <c r="M145" s="22"/>
    </row>
    <row r="146">
      <c r="A146" s="51" t="s">
        <v>229</v>
      </c>
      <c r="B146" s="52"/>
      <c r="C146" s="52"/>
      <c r="D146" s="52"/>
      <c r="E146" s="53"/>
      <c r="F146" s="22"/>
      <c r="G146" s="22"/>
      <c r="H146" s="22"/>
      <c r="I146" s="22"/>
      <c r="J146" s="22"/>
      <c r="K146" s="22"/>
      <c r="L146" s="22"/>
      <c r="M146" s="22"/>
    </row>
    <row r="147">
      <c r="A147" s="54" t="s">
        <v>10</v>
      </c>
      <c r="B147" s="54" t="s">
        <v>230</v>
      </c>
      <c r="C147" s="54" t="s">
        <v>231</v>
      </c>
      <c r="D147" s="54" t="s">
        <v>232</v>
      </c>
      <c r="E147" s="22"/>
      <c r="F147" s="22"/>
      <c r="G147" s="22"/>
      <c r="H147" s="22"/>
      <c r="I147" s="22"/>
      <c r="J147" s="22"/>
      <c r="K147" s="22"/>
      <c r="L147" s="22"/>
      <c r="M147" s="22"/>
    </row>
    <row r="148">
      <c r="A148" s="26">
        <v>52</v>
      </c>
      <c r="B148" s="26">
        <v>112</v>
      </c>
      <c r="C148" s="38">
        <f>A148*B148</f>
        <v>5824</v>
      </c>
      <c r="D148" s="38">
        <f>A148*A148</f>
        <v>2704</v>
      </c>
      <c r="E148" s="22"/>
      <c r="F148" s="22"/>
      <c r="G148" s="22"/>
      <c r="H148" s="22"/>
      <c r="I148" s="22"/>
      <c r="J148" s="22"/>
      <c r="K148" s="22"/>
      <c r="L148" s="22"/>
      <c r="M148" s="22"/>
    </row>
    <row r="149">
      <c r="A149" s="26">
        <v>58</v>
      </c>
      <c r="B149" s="26">
        <v>178</v>
      </c>
      <c r="C149" s="38">
        <f>A149*B149</f>
        <v>10324</v>
      </c>
      <c r="D149" s="38">
        <f>A149*A149</f>
        <v>3364</v>
      </c>
      <c r="E149" s="22"/>
      <c r="F149" s="22"/>
      <c r="G149" s="22"/>
      <c r="H149" s="22"/>
      <c r="I149" s="22"/>
      <c r="J149" s="22"/>
      <c r="K149" s="22"/>
      <c r="L149" s="22"/>
      <c r="M149" s="22"/>
    </row>
    <row r="150">
      <c r="A150" s="26">
        <v>65</v>
      </c>
      <c r="B150" s="26">
        <v>240</v>
      </c>
      <c r="C150" s="38">
        <f>A150*B150</f>
        <v>15600</v>
      </c>
      <c r="D150" s="38">
        <f>A150*A150</f>
        <v>4225</v>
      </c>
      <c r="E150" s="22"/>
      <c r="F150" s="22"/>
      <c r="G150" s="22"/>
      <c r="H150" s="22"/>
      <c r="I150" s="22"/>
      <c r="J150" s="22"/>
      <c r="K150" s="22"/>
      <c r="L150" s="22"/>
      <c r="M150" s="22"/>
    </row>
    <row r="151">
      <c r="A151" s="26">
        <v>70</v>
      </c>
      <c r="B151" s="26">
        <v>205</v>
      </c>
      <c r="C151" s="38">
        <f>A151*B151</f>
        <v>14350</v>
      </c>
      <c r="D151" s="38">
        <f>A151*A151</f>
        <v>4900</v>
      </c>
      <c r="E151" s="22"/>
      <c r="F151" s="22"/>
      <c r="G151" s="22"/>
      <c r="H151" s="22"/>
      <c r="I151" s="22"/>
      <c r="J151" s="22"/>
      <c r="K151" s="22"/>
      <c r="L151" s="22"/>
      <c r="M151" s="22"/>
    </row>
    <row r="152">
      <c r="A152" s="26">
        <v>76</v>
      </c>
      <c r="B152" s="26">
        <v>198</v>
      </c>
      <c r="C152" s="38">
        <f>A152*B152</f>
        <v>15048</v>
      </c>
      <c r="D152" s="38">
        <f>A152*A152</f>
        <v>5776</v>
      </c>
      <c r="E152" s="22"/>
      <c r="F152" s="22"/>
      <c r="G152" s="22"/>
      <c r="H152" s="22"/>
      <c r="I152" s="22"/>
      <c r="J152" s="22"/>
      <c r="K152" s="22"/>
      <c r="L152" s="22"/>
      <c r="M152" s="22"/>
    </row>
    <row r="153">
      <c r="A153" s="26">
        <v>80</v>
      </c>
      <c r="B153" s="26">
        <v>136</v>
      </c>
      <c r="C153" s="38">
        <f>A153*B153</f>
        <v>10880</v>
      </c>
      <c r="D153" s="38">
        <f>A153*A153</f>
        <v>6400</v>
      </c>
      <c r="E153" s="22"/>
      <c r="F153" s="22"/>
      <c r="G153" s="22"/>
      <c r="H153" s="22"/>
      <c r="I153" s="22"/>
      <c r="J153" s="22"/>
      <c r="K153" s="22"/>
      <c r="L153" s="22"/>
      <c r="M153" s="22"/>
    </row>
    <row r="154">
      <c r="A154" s="26">
        <v>88</v>
      </c>
      <c r="B154" s="26">
        <v>130</v>
      </c>
      <c r="C154" s="38">
        <f>A154*B154</f>
        <v>11440</v>
      </c>
      <c r="D154" s="38">
        <f>A154*A154</f>
        <v>7744</v>
      </c>
      <c r="E154" s="45"/>
      <c r="F154" s="22"/>
      <c r="G154" s="22"/>
      <c r="H154" s="22"/>
      <c r="I154" s="22"/>
      <c r="J154" s="22"/>
      <c r="K154" s="22"/>
      <c r="L154" s="22"/>
      <c r="M154" s="22"/>
    </row>
    <row r="155">
      <c r="A155" s="38">
        <f>SUM(A148:A154)</f>
        <v>489</v>
      </c>
      <c r="B155" s="38">
        <f>SUM(B148:B154)</f>
        <v>1199</v>
      </c>
      <c r="C155" s="38">
        <f>SUM(C148:C154)</f>
        <v>83466</v>
      </c>
      <c r="D155" s="38">
        <f>SUM(D148:D154)</f>
        <v>35113</v>
      </c>
      <c r="E155" s="54" t="s">
        <v>233</v>
      </c>
      <c r="F155" s="22"/>
      <c r="G155" s="22"/>
      <c r="H155" s="22"/>
      <c r="I155" s="22"/>
      <c r="J155" s="22"/>
      <c r="K155" s="22"/>
      <c r="L155" s="22"/>
      <c r="M155" s="22"/>
    </row>
    <row r="156">
      <c r="A156" s="50"/>
      <c r="B156" s="50"/>
      <c r="C156" s="50"/>
      <c r="D156" s="50"/>
      <c r="E156" s="50"/>
      <c r="F156" s="22"/>
      <c r="G156" s="22"/>
      <c r="H156" s="22"/>
      <c r="I156" s="22"/>
      <c r="J156" s="22"/>
      <c r="K156" s="22"/>
      <c r="L156" s="22"/>
      <c r="M156" s="22"/>
    </row>
    <row r="157">
      <c r="A157" s="51" t="s">
        <v>234</v>
      </c>
      <c r="B157" s="52"/>
      <c r="C157" s="52"/>
      <c r="D157" s="52"/>
      <c r="E157" s="53"/>
      <c r="F157" s="22"/>
      <c r="G157" s="22"/>
      <c r="H157" s="22"/>
      <c r="I157" s="22"/>
      <c r="J157" s="22"/>
      <c r="K157" s="22"/>
      <c r="L157" s="22"/>
      <c r="M157" s="22"/>
    </row>
    <row r="158">
      <c r="A158" s="54" t="s">
        <v>235</v>
      </c>
      <c r="B158" s="54" t="s">
        <v>141</v>
      </c>
      <c r="C158" s="54" t="s">
        <v>62</v>
      </c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>
      <c r="A159" s="26" t="s">
        <v>236</v>
      </c>
      <c r="B159" s="58" t="s">
        <v>237</v>
      </c>
      <c r="C159" s="62">
        <f>A155/7</f>
        <v>69.857142857142861</v>
      </c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>
      <c r="A160" s="26" t="s">
        <v>238</v>
      </c>
      <c r="B160" s="58" t="s">
        <v>239</v>
      </c>
      <c r="C160" s="62">
        <f>B155/7</f>
        <v>171.28571428571428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>
      <c r="A161" s="26" t="s">
        <v>240</v>
      </c>
      <c r="B161" s="58" t="s">
        <v>241</v>
      </c>
      <c r="C161" s="62">
        <f>D155-(A155^2/7)</f>
        <v>952.85714285714494</v>
      </c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>
      <c r="A162" s="26" t="s">
        <v>242</v>
      </c>
      <c r="B162" s="58" t="s">
        <v>243</v>
      </c>
      <c r="C162" s="62">
        <f>C155-(A155*B155/7)</f>
        <v>-292.71428571428987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>
      <c r="A163" s="26" t="s">
        <v>244</v>
      </c>
      <c r="B163" s="58" t="s">
        <v>245</v>
      </c>
      <c r="C163" s="62">
        <f>C162/C161</f>
        <v>-0.30719640179910412</v>
      </c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>
      <c r="A164" s="26" t="s">
        <v>246</v>
      </c>
      <c r="B164" s="58" t="s">
        <v>247</v>
      </c>
      <c r="C164" s="62">
        <f>C160-C163*C159</f>
        <v>192.74557721139456</v>
      </c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>
      <c r="A165" s="30" t="s">
        <v>248</v>
      </c>
      <c r="B165" s="58" t="s">
        <v>249</v>
      </c>
      <c r="C165" s="38" t="str">
        <f>CONCATENATE("y = ",TEXT(C164,"0.0000")," + ",TEXT(C163,"0.0000"),"*x")</f>
        <v xml:space="preserve">y = 192.7456 + -0.3072*x</v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>
      <c r="A168" s="23" t="s">
        <v>268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2"/>
    </row>
    <row r="169">
      <c r="A169" s="54" t="s">
        <v>269</v>
      </c>
      <c r="B169" s="54">
        <v>25</v>
      </c>
      <c r="C169" s="54">
        <v>50</v>
      </c>
      <c r="D169" s="54">
        <v>75</v>
      </c>
      <c r="E169" s="54">
        <v>100</v>
      </c>
      <c r="F169" s="37"/>
      <c r="G169" s="22"/>
      <c r="H169" s="22"/>
      <c r="I169" s="22"/>
      <c r="J169" s="22"/>
      <c r="K169" s="22"/>
      <c r="L169" s="22"/>
      <c r="M169" s="22"/>
    </row>
    <row r="170">
      <c r="A170" s="54" t="s">
        <v>270</v>
      </c>
      <c r="B170" s="26">
        <v>0.28000000000000003</v>
      </c>
      <c r="C170" s="26">
        <v>1.1799999999999999</v>
      </c>
      <c r="D170" s="26">
        <v>1.8500000000000001</v>
      </c>
      <c r="E170" s="26">
        <v>2.4199999999999999</v>
      </c>
      <c r="F170" s="22"/>
      <c r="G170" s="22"/>
      <c r="H170" s="22"/>
      <c r="I170" s="22"/>
      <c r="J170" s="22"/>
      <c r="K170" s="22"/>
      <c r="L170" s="22"/>
      <c r="M170" s="22"/>
    </row>
    <row r="171">
      <c r="A171" s="50"/>
      <c r="B171" s="50"/>
      <c r="C171" s="50"/>
      <c r="D171" s="50"/>
      <c r="E171" s="50"/>
      <c r="F171" s="22"/>
      <c r="G171" s="22"/>
      <c r="H171" s="22"/>
      <c r="I171" s="22"/>
      <c r="J171" s="22"/>
      <c r="K171" s="22"/>
      <c r="L171" s="22"/>
      <c r="M171" s="22"/>
    </row>
    <row r="172">
      <c r="A172" s="51" t="s">
        <v>229</v>
      </c>
      <c r="B172" s="52"/>
      <c r="C172" s="52"/>
      <c r="D172" s="52"/>
      <c r="E172" s="53"/>
      <c r="F172" s="22"/>
      <c r="G172" s="22"/>
      <c r="H172" s="22"/>
      <c r="I172" s="22"/>
      <c r="J172" s="22"/>
      <c r="K172" s="22"/>
      <c r="L172" s="22"/>
      <c r="M172" s="22"/>
    </row>
    <row r="173">
      <c r="A173" s="54" t="s">
        <v>10</v>
      </c>
      <c r="B173" s="54" t="s">
        <v>230</v>
      </c>
      <c r="C173" s="54" t="s">
        <v>231</v>
      </c>
      <c r="D173" s="54" t="s">
        <v>232</v>
      </c>
      <c r="E173" s="22"/>
      <c r="F173" s="22"/>
      <c r="G173" s="22"/>
      <c r="H173" s="22"/>
      <c r="I173" s="22"/>
      <c r="J173" s="22"/>
      <c r="K173" s="22"/>
      <c r="L173" s="22"/>
      <c r="M173" s="22"/>
    </row>
    <row r="174">
      <c r="A174" s="26">
        <v>25</v>
      </c>
      <c r="B174" s="26">
        <v>0.28000000000000003</v>
      </c>
      <c r="C174" s="38">
        <f>A174*B174</f>
        <v>7.0000000000000009</v>
      </c>
      <c r="D174" s="38">
        <f>A174*A174</f>
        <v>625</v>
      </c>
      <c r="E174" s="22"/>
      <c r="F174" s="22"/>
      <c r="G174" s="22"/>
      <c r="H174" s="22"/>
      <c r="I174" s="22"/>
      <c r="J174" s="22"/>
      <c r="K174" s="22"/>
      <c r="L174" s="22"/>
      <c r="M174" s="22"/>
    </row>
    <row r="175">
      <c r="A175" s="26">
        <v>50</v>
      </c>
      <c r="B175" s="26">
        <v>1.1799999999999999</v>
      </c>
      <c r="C175" s="38">
        <f>A175*B175</f>
        <v>59</v>
      </c>
      <c r="D175" s="38">
        <f>A175*A175</f>
        <v>2500</v>
      </c>
      <c r="E175" s="22"/>
      <c r="F175" s="22"/>
      <c r="G175" s="22"/>
      <c r="H175" s="22"/>
      <c r="I175" s="22"/>
      <c r="J175" s="22"/>
      <c r="K175" s="22"/>
      <c r="L175" s="22"/>
      <c r="M175" s="22"/>
    </row>
    <row r="176">
      <c r="A176" s="26">
        <v>75</v>
      </c>
      <c r="B176" s="26">
        <v>1.8500000000000001</v>
      </c>
      <c r="C176" s="38">
        <f>A176*B176</f>
        <v>138.75</v>
      </c>
      <c r="D176" s="38">
        <f>A176*A176</f>
        <v>5625</v>
      </c>
      <c r="E176" s="22"/>
      <c r="F176" s="22"/>
      <c r="G176" s="22"/>
      <c r="H176" s="22"/>
      <c r="I176" s="22"/>
      <c r="J176" s="22"/>
      <c r="K176" s="22"/>
      <c r="L176" s="22"/>
      <c r="M176" s="22"/>
    </row>
    <row r="177">
      <c r="A177" s="26">
        <v>100</v>
      </c>
      <c r="B177" s="26">
        <v>2.4199999999999999</v>
      </c>
      <c r="C177" s="38">
        <f>A177*B177</f>
        <v>242</v>
      </c>
      <c r="D177" s="38">
        <f>A177*A177</f>
        <v>10000</v>
      </c>
      <c r="E177" s="45"/>
      <c r="F177" s="22"/>
      <c r="G177" s="22"/>
      <c r="H177" s="22"/>
      <c r="I177" s="22"/>
      <c r="J177" s="22"/>
      <c r="K177" s="22"/>
      <c r="L177" s="22"/>
      <c r="M177" s="22"/>
    </row>
    <row r="178">
      <c r="A178" s="38">
        <f>SUM(A174:A177)</f>
        <v>250</v>
      </c>
      <c r="B178" s="38">
        <f>SUM(B174:B177)</f>
        <v>5.7300000000000004</v>
      </c>
      <c r="C178" s="38">
        <f>SUM(C174:C177)</f>
        <v>446.75</v>
      </c>
      <c r="D178" s="38">
        <f>SUM(D174:D177)</f>
        <v>18750</v>
      </c>
      <c r="E178" s="54" t="s">
        <v>233</v>
      </c>
      <c r="F178" s="22"/>
      <c r="G178" s="22"/>
      <c r="H178" s="22"/>
      <c r="I178" s="22"/>
      <c r="J178" s="22"/>
      <c r="K178" s="22"/>
      <c r="L178" s="22"/>
      <c r="M178" s="22"/>
    </row>
    <row r="179">
      <c r="A179" s="50"/>
      <c r="B179" s="50"/>
      <c r="C179" s="50"/>
      <c r="D179" s="50"/>
      <c r="E179" s="50"/>
      <c r="F179" s="22"/>
      <c r="G179" s="22"/>
      <c r="H179" s="22"/>
      <c r="I179" s="22"/>
      <c r="J179" s="22"/>
      <c r="K179" s="22"/>
      <c r="L179" s="22"/>
      <c r="M179" s="22"/>
    </row>
    <row r="180">
      <c r="A180" s="51" t="s">
        <v>234</v>
      </c>
      <c r="B180" s="52"/>
      <c r="C180" s="52"/>
      <c r="D180" s="52"/>
      <c r="E180" s="53"/>
      <c r="F180" s="22"/>
      <c r="G180" s="22"/>
      <c r="H180" s="22"/>
      <c r="I180" s="22"/>
      <c r="J180" s="22"/>
      <c r="K180" s="22"/>
      <c r="L180" s="22"/>
      <c r="M180" s="22"/>
    </row>
    <row r="181">
      <c r="A181" s="54" t="s">
        <v>235</v>
      </c>
      <c r="B181" s="54" t="s">
        <v>141</v>
      </c>
      <c r="C181" s="54" t="s">
        <v>62</v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>
      <c r="A182" s="26" t="s">
        <v>236</v>
      </c>
      <c r="B182" s="58" t="s">
        <v>237</v>
      </c>
      <c r="C182" s="62">
        <f>A178/4</f>
        <v>62.5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>
      <c r="A183" s="26" t="s">
        <v>238</v>
      </c>
      <c r="B183" s="58" t="s">
        <v>239</v>
      </c>
      <c r="C183" s="62">
        <f>B178/4</f>
        <v>1.4325000000000001</v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>
      <c r="A184" s="26" t="s">
        <v>240</v>
      </c>
      <c r="B184" s="58" t="s">
        <v>241</v>
      </c>
      <c r="C184" s="62">
        <f>D178-(A178^2/4)</f>
        <v>3125</v>
      </c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>
      <c r="A185" s="26" t="s">
        <v>242</v>
      </c>
      <c r="B185" s="58" t="s">
        <v>243</v>
      </c>
      <c r="C185" s="62">
        <f>C178-(A178*B178/4)</f>
        <v>88.625</v>
      </c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>
      <c r="A186" s="26" t="s">
        <v>244</v>
      </c>
      <c r="B186" s="58" t="s">
        <v>245</v>
      </c>
      <c r="C186" s="62">
        <f>C185/C184</f>
        <v>2.836e-02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>
      <c r="A187" s="26" t="s">
        <v>246</v>
      </c>
      <c r="B187" s="58" t="s">
        <v>247</v>
      </c>
      <c r="C187" s="62">
        <f>C183-C186*C182</f>
        <v>-0.33999999999999986</v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>
      <c r="A188" s="30" t="s">
        <v>248</v>
      </c>
      <c r="B188" s="58" t="s">
        <v>249</v>
      </c>
      <c r="C188" s="38" t="str">
        <f>CONCATENATE("y = ",TEXT(C187,"0.0000")," + ",TEXT(C186,"0.0000"),"*x")</f>
        <v xml:space="preserve">y = -0.3400 + 0.0284*x</v>
      </c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>
      <c r="A191" s="23" t="s">
        <v>271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2"/>
    </row>
    <row r="192">
      <c r="A192" s="54" t="s">
        <v>272</v>
      </c>
      <c r="B192" s="54">
        <v>3</v>
      </c>
      <c r="C192" s="54">
        <v>8</v>
      </c>
      <c r="D192" s="54">
        <v>11</v>
      </c>
      <c r="E192" s="54">
        <v>16</v>
      </c>
      <c r="F192" s="54">
        <v>22</v>
      </c>
      <c r="G192" s="54">
        <v>28</v>
      </c>
      <c r="H192" s="54">
        <v>35</v>
      </c>
      <c r="I192" s="54">
        <v>45</v>
      </c>
      <c r="J192" s="37"/>
      <c r="K192" s="22"/>
      <c r="L192" s="22"/>
      <c r="M192" s="22"/>
    </row>
    <row r="193">
      <c r="A193" s="54" t="s">
        <v>273</v>
      </c>
      <c r="B193" s="26">
        <v>2</v>
      </c>
      <c r="C193" s="26">
        <v>8</v>
      </c>
      <c r="D193" s="26">
        <v>11</v>
      </c>
      <c r="E193" s="26">
        <v>14</v>
      </c>
      <c r="F193" s="26">
        <v>22</v>
      </c>
      <c r="G193" s="26">
        <v>26</v>
      </c>
      <c r="H193" s="26">
        <v>32</v>
      </c>
      <c r="I193" s="26">
        <v>44</v>
      </c>
      <c r="J193" s="22"/>
      <c r="K193" s="22"/>
      <c r="L193" s="22"/>
      <c r="M193" s="22"/>
    </row>
    <row r="194">
      <c r="A194" s="50"/>
      <c r="B194" s="50"/>
      <c r="C194" s="50"/>
      <c r="D194" s="50"/>
      <c r="E194" s="50"/>
      <c r="F194" s="22"/>
      <c r="G194" s="22"/>
      <c r="H194" s="22"/>
      <c r="I194" s="22"/>
      <c r="J194" s="22"/>
      <c r="K194" s="22"/>
      <c r="L194" s="22"/>
      <c r="M194" s="22"/>
    </row>
    <row r="195">
      <c r="A195" s="51" t="s">
        <v>229</v>
      </c>
      <c r="B195" s="52"/>
      <c r="C195" s="52"/>
      <c r="D195" s="52"/>
      <c r="E195" s="53"/>
      <c r="F195" s="22"/>
      <c r="G195" s="22"/>
      <c r="H195" s="22"/>
      <c r="I195" s="22"/>
      <c r="J195" s="22"/>
      <c r="K195" s="22"/>
      <c r="L195" s="22"/>
      <c r="M195" s="22"/>
    </row>
    <row r="196">
      <c r="A196" s="54" t="s">
        <v>10</v>
      </c>
      <c r="B196" s="54" t="s">
        <v>230</v>
      </c>
      <c r="C196" s="54" t="s">
        <v>231</v>
      </c>
      <c r="D196" s="54" t="s">
        <v>232</v>
      </c>
      <c r="E196" s="22"/>
      <c r="F196" s="22"/>
      <c r="G196" s="22"/>
      <c r="H196" s="22"/>
      <c r="I196" s="22"/>
      <c r="J196" s="22"/>
      <c r="K196" s="22"/>
      <c r="L196" s="22"/>
      <c r="M196" s="22"/>
    </row>
    <row r="197">
      <c r="A197" s="26">
        <v>3</v>
      </c>
      <c r="B197" s="26">
        <v>2</v>
      </c>
      <c r="C197" s="38">
        <f>A197*B197</f>
        <v>6</v>
      </c>
      <c r="D197" s="38">
        <f>A197*A197</f>
        <v>9</v>
      </c>
      <c r="E197" s="22"/>
      <c r="F197" s="22"/>
      <c r="G197" s="22"/>
      <c r="H197" s="22"/>
      <c r="I197" s="22"/>
      <c r="J197" s="22"/>
      <c r="K197" s="22"/>
      <c r="L197" s="22"/>
      <c r="M197" s="22"/>
    </row>
    <row r="198">
      <c r="A198" s="26">
        <v>8</v>
      </c>
      <c r="B198" s="26">
        <v>8</v>
      </c>
      <c r="C198" s="38">
        <f>A198*B198</f>
        <v>64</v>
      </c>
      <c r="D198" s="38">
        <f>A198*A198</f>
        <v>64</v>
      </c>
      <c r="E198" s="22"/>
      <c r="F198" s="22"/>
      <c r="G198" s="22"/>
      <c r="H198" s="22"/>
      <c r="I198" s="22"/>
      <c r="J198" s="22"/>
      <c r="K198" s="22"/>
      <c r="L198" s="22"/>
      <c r="M198" s="22"/>
    </row>
    <row r="199">
      <c r="A199" s="26">
        <v>11</v>
      </c>
      <c r="B199" s="26">
        <v>11</v>
      </c>
      <c r="C199" s="38">
        <f>A199*B199</f>
        <v>121</v>
      </c>
      <c r="D199" s="38">
        <f>A199*A199</f>
        <v>121</v>
      </c>
      <c r="E199" s="22"/>
      <c r="F199" s="22"/>
      <c r="G199" s="22"/>
      <c r="H199" s="22"/>
      <c r="I199" s="22"/>
      <c r="J199" s="22"/>
      <c r="K199" s="22"/>
      <c r="L199" s="22"/>
      <c r="M199" s="22"/>
    </row>
    <row r="200">
      <c r="A200" s="26">
        <v>16</v>
      </c>
      <c r="B200" s="26">
        <v>14</v>
      </c>
      <c r="C200" s="38">
        <f>A200*B200</f>
        <v>224</v>
      </c>
      <c r="D200" s="38">
        <f>A200*A200</f>
        <v>256</v>
      </c>
      <c r="E200" s="22"/>
      <c r="F200" s="22"/>
      <c r="G200" s="22"/>
      <c r="H200" s="22"/>
      <c r="I200" s="22"/>
      <c r="J200" s="22"/>
      <c r="K200" s="22"/>
      <c r="L200" s="22"/>
      <c r="M200" s="22"/>
    </row>
    <row r="201">
      <c r="A201" s="26">
        <v>22</v>
      </c>
      <c r="B201" s="26">
        <v>22</v>
      </c>
      <c r="C201" s="38">
        <f>A201*B201</f>
        <v>484</v>
      </c>
      <c r="D201" s="38">
        <f>A201*A201</f>
        <v>484</v>
      </c>
      <c r="E201" s="22"/>
      <c r="F201" s="22"/>
      <c r="G201" s="22"/>
      <c r="H201" s="22"/>
      <c r="I201" s="22"/>
      <c r="J201" s="22"/>
      <c r="K201" s="22"/>
      <c r="L201" s="22"/>
      <c r="M201" s="22"/>
    </row>
    <row r="202">
      <c r="A202" s="26">
        <v>28</v>
      </c>
      <c r="B202" s="26">
        <v>26</v>
      </c>
      <c r="C202" s="38">
        <f>A202*B202</f>
        <v>728</v>
      </c>
      <c r="D202" s="38">
        <f>A202*A202</f>
        <v>784</v>
      </c>
      <c r="E202" s="22"/>
      <c r="F202" s="22"/>
      <c r="G202" s="22"/>
      <c r="H202" s="22"/>
      <c r="I202" s="22"/>
      <c r="J202" s="22"/>
      <c r="K202" s="22"/>
      <c r="L202" s="22"/>
      <c r="M202" s="22"/>
    </row>
    <row r="203">
      <c r="A203" s="26">
        <v>35</v>
      </c>
      <c r="B203" s="26">
        <v>32</v>
      </c>
      <c r="C203" s="38">
        <f>A203*B203</f>
        <v>1120</v>
      </c>
      <c r="D203" s="38">
        <f>A203*A203</f>
        <v>1225</v>
      </c>
      <c r="E203" s="22"/>
      <c r="F203" s="22"/>
      <c r="G203" s="22"/>
      <c r="H203" s="22"/>
      <c r="I203" s="22"/>
      <c r="J203" s="22"/>
      <c r="K203" s="22"/>
      <c r="L203" s="22"/>
      <c r="M203" s="22"/>
    </row>
    <row r="204">
      <c r="A204" s="26">
        <v>45</v>
      </c>
      <c r="B204" s="26">
        <v>44</v>
      </c>
      <c r="C204" s="38">
        <f>A204*B204</f>
        <v>1980</v>
      </c>
      <c r="D204" s="38">
        <f>A204*A204</f>
        <v>2025</v>
      </c>
      <c r="E204" s="45"/>
      <c r="F204" s="22"/>
      <c r="G204" s="22"/>
      <c r="H204" s="22"/>
      <c r="I204" s="22"/>
      <c r="J204" s="22"/>
      <c r="K204" s="22"/>
      <c r="L204" s="22"/>
      <c r="M204" s="22"/>
    </row>
    <row r="205">
      <c r="A205" s="38">
        <f>SUM(A197:A204)</f>
        <v>168</v>
      </c>
      <c r="B205" s="38">
        <f>SUM(B197:B204)</f>
        <v>159</v>
      </c>
      <c r="C205" s="38">
        <f>SUM(C197:C204)</f>
        <v>4727</v>
      </c>
      <c r="D205" s="38">
        <f>SUM(D197:D204)</f>
        <v>4968</v>
      </c>
      <c r="E205" s="54" t="s">
        <v>233</v>
      </c>
      <c r="F205" s="22"/>
      <c r="G205" s="22"/>
      <c r="H205" s="22"/>
      <c r="I205" s="22"/>
      <c r="J205" s="22"/>
      <c r="K205" s="22"/>
      <c r="L205" s="22"/>
      <c r="M205" s="22"/>
    </row>
    <row r="206">
      <c r="A206" s="50"/>
      <c r="B206" s="50"/>
      <c r="C206" s="50"/>
      <c r="D206" s="50"/>
      <c r="E206" s="50"/>
      <c r="F206" s="22"/>
      <c r="G206" s="22"/>
      <c r="H206" s="22"/>
      <c r="I206" s="22"/>
      <c r="J206" s="22"/>
      <c r="K206" s="22"/>
      <c r="L206" s="22"/>
      <c r="M206" s="22"/>
    </row>
    <row r="207">
      <c r="A207" s="51" t="s">
        <v>234</v>
      </c>
      <c r="B207" s="52"/>
      <c r="C207" s="52"/>
      <c r="D207" s="52"/>
      <c r="E207" s="53"/>
      <c r="F207" s="22"/>
      <c r="G207" s="22"/>
      <c r="H207" s="22"/>
      <c r="I207" s="22"/>
      <c r="J207" s="22"/>
      <c r="K207" s="22"/>
      <c r="L207" s="22"/>
      <c r="M207" s="22"/>
    </row>
    <row r="208">
      <c r="A208" s="54" t="s">
        <v>235</v>
      </c>
      <c r="B208" s="54" t="s">
        <v>141</v>
      </c>
      <c r="C208" s="54" t="s">
        <v>62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>
      <c r="A209" s="26" t="s">
        <v>236</v>
      </c>
      <c r="B209" s="58" t="s">
        <v>237</v>
      </c>
      <c r="C209" s="62">
        <f>A205/8</f>
        <v>21</v>
      </c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>
      <c r="A210" s="26" t="s">
        <v>238</v>
      </c>
      <c r="B210" s="58" t="s">
        <v>239</v>
      </c>
      <c r="C210" s="62">
        <f>B205/8</f>
        <v>19.875</v>
      </c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>
      <c r="A211" s="26" t="s">
        <v>240</v>
      </c>
      <c r="B211" s="58" t="s">
        <v>241</v>
      </c>
      <c r="C211" s="62">
        <f>D205-(A205^2/8)</f>
        <v>1440</v>
      </c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>
      <c r="A212" s="26" t="s">
        <v>242</v>
      </c>
      <c r="B212" s="58" t="s">
        <v>243</v>
      </c>
      <c r="C212" s="62">
        <f>C205-(A205*B205/8)</f>
        <v>1388</v>
      </c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>
      <c r="A213" s="26" t="s">
        <v>244</v>
      </c>
      <c r="B213" s="58" t="s">
        <v>245</v>
      </c>
      <c r="C213" s="62">
        <f>C212/C211</f>
        <v>0.96388888888888891</v>
      </c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>
      <c r="A214" s="26" t="s">
        <v>246</v>
      </c>
      <c r="B214" s="58" t="s">
        <v>247</v>
      </c>
      <c r="C214" s="62">
        <f>C210-C213*C209</f>
        <v>-0.36666666666666714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>
      <c r="A215" s="30" t="s">
        <v>248</v>
      </c>
      <c r="B215" s="58" t="s">
        <v>249</v>
      </c>
      <c r="C215" s="38" t="str">
        <f>CONCATENATE("y = ",TEXT(C214,"0.0000")," + ",TEXT(C213,"0.0000"),"*x")</f>
        <v xml:space="preserve">y = -0.3667 + 0.9639*x</v>
      </c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</sheetData>
  <mergeCells count="24">
    <mergeCell ref="A1:M1"/>
    <mergeCell ref="A3:L3"/>
    <mergeCell ref="A7:E7"/>
    <mergeCell ref="A21:E21"/>
    <mergeCell ref="A32:L32"/>
    <mergeCell ref="A36:E36"/>
    <mergeCell ref="A50:E50"/>
    <mergeCell ref="A61:L61"/>
    <mergeCell ref="D63:F63"/>
    <mergeCell ref="A84:L84"/>
    <mergeCell ref="A88:E88"/>
    <mergeCell ref="A102:E102"/>
    <mergeCell ref="A113:L113"/>
    <mergeCell ref="A117:E117"/>
    <mergeCell ref="A131:E131"/>
    <mergeCell ref="A142:L142"/>
    <mergeCell ref="A146:E146"/>
    <mergeCell ref="A157:E157"/>
    <mergeCell ref="A168:L168"/>
    <mergeCell ref="A172:E172"/>
    <mergeCell ref="A180:E180"/>
    <mergeCell ref="A191:L191"/>
    <mergeCell ref="A195:E195"/>
    <mergeCell ref="A207:E20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.75">
      <c r="A1" s="34" t="s">
        <v>274</v>
      </c>
      <c r="B1" s="34"/>
      <c r="C1" s="34"/>
      <c r="D1" s="34"/>
      <c r="E1" s="34"/>
      <c r="F1" s="34"/>
      <c r="G1" s="34"/>
      <c r="H1" s="34"/>
      <c r="I1" s="34"/>
      <c r="J1" s="64"/>
      <c r="K1" s="64"/>
      <c r="L1" s="64"/>
    </row>
    <row r="2" ht="14.25">
      <c r="A2" s="22"/>
      <c r="B2" s="22"/>
      <c r="C2" s="22"/>
      <c r="D2" s="22"/>
      <c r="E2" s="22"/>
      <c r="F2" s="22"/>
      <c r="G2" s="22"/>
      <c r="H2" s="22"/>
      <c r="I2" s="22"/>
      <c r="J2" s="64"/>
      <c r="K2" s="64"/>
      <c r="L2" s="64"/>
    </row>
    <row r="3" ht="14.25">
      <c r="A3" s="23" t="s">
        <v>275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ht="42.75">
      <c r="A4" s="54" t="s">
        <v>251</v>
      </c>
      <c r="B4" s="54" t="s">
        <v>276</v>
      </c>
      <c r="C4" s="37"/>
      <c r="D4" s="22"/>
      <c r="E4" s="22"/>
      <c r="F4" s="22"/>
      <c r="G4" s="22"/>
      <c r="H4" s="22"/>
      <c r="I4" s="22"/>
      <c r="J4" s="64"/>
      <c r="K4" s="64"/>
      <c r="L4" s="64"/>
    </row>
    <row r="5" ht="14.25">
      <c r="A5" s="26">
        <v>22</v>
      </c>
      <c r="B5" s="26">
        <v>120</v>
      </c>
      <c r="C5" s="22"/>
      <c r="D5" s="22"/>
      <c r="E5" s="22"/>
      <c r="F5" s="22"/>
      <c r="G5" s="22"/>
      <c r="H5" s="22"/>
      <c r="I5" s="22"/>
      <c r="J5" s="64"/>
      <c r="K5" s="64"/>
      <c r="L5" s="64"/>
    </row>
    <row r="6" ht="14.25">
      <c r="A6" s="26">
        <v>25</v>
      </c>
      <c r="B6" s="26">
        <v>145</v>
      </c>
      <c r="C6" s="22"/>
      <c r="D6" s="22"/>
      <c r="E6" s="22"/>
      <c r="F6" s="22"/>
      <c r="G6" s="22"/>
      <c r="H6" s="22"/>
      <c r="I6" s="22"/>
      <c r="J6" s="64"/>
      <c r="K6" s="64"/>
      <c r="L6" s="64"/>
    </row>
    <row r="7" ht="14.25">
      <c r="A7" s="26">
        <v>28</v>
      </c>
      <c r="B7" s="26">
        <v>168</v>
      </c>
      <c r="C7" s="22"/>
      <c r="D7" s="22"/>
      <c r="E7" s="22"/>
      <c r="F7" s="22"/>
      <c r="G7" s="22"/>
      <c r="H7" s="22"/>
      <c r="I7" s="22"/>
      <c r="J7" s="64"/>
      <c r="K7" s="64"/>
      <c r="L7" s="64"/>
    </row>
    <row r="8" ht="14.25">
      <c r="A8" s="26">
        <v>31</v>
      </c>
      <c r="B8" s="26">
        <v>195</v>
      </c>
      <c r="C8" s="22"/>
      <c r="D8" s="22"/>
      <c r="E8" s="22"/>
      <c r="F8" s="22"/>
      <c r="G8" s="22"/>
      <c r="H8" s="22"/>
      <c r="I8" s="22"/>
      <c r="J8" s="64"/>
      <c r="K8" s="64"/>
      <c r="L8" s="64"/>
    </row>
    <row r="9" ht="14.25">
      <c r="A9" s="26">
        <v>34</v>
      </c>
      <c r="B9" s="26">
        <v>225</v>
      </c>
      <c r="C9" s="22"/>
      <c r="D9" s="22"/>
      <c r="E9" s="22"/>
      <c r="F9" s="22"/>
      <c r="G9" s="22"/>
      <c r="H9" s="22"/>
      <c r="I9" s="22"/>
      <c r="J9" s="64"/>
      <c r="K9" s="64"/>
      <c r="L9" s="64"/>
    </row>
    <row r="10" ht="14.25">
      <c r="A10" s="26">
        <v>36</v>
      </c>
      <c r="B10" s="26">
        <v>248</v>
      </c>
      <c r="C10" s="22"/>
      <c r="D10" s="22"/>
      <c r="E10" s="22"/>
      <c r="F10" s="22"/>
      <c r="G10" s="22"/>
      <c r="H10" s="22"/>
      <c r="I10" s="22"/>
      <c r="J10" s="64"/>
      <c r="K10" s="64"/>
      <c r="L10" s="64"/>
    </row>
    <row r="11" ht="14.25">
      <c r="A11" s="26">
        <v>38</v>
      </c>
      <c r="B11" s="26">
        <v>270</v>
      </c>
      <c r="C11" s="22"/>
      <c r="D11" s="22"/>
      <c r="E11" s="22"/>
      <c r="F11" s="22"/>
      <c r="G11" s="22"/>
      <c r="H11" s="22"/>
      <c r="I11" s="22"/>
      <c r="J11" s="64"/>
      <c r="K11" s="64"/>
      <c r="L11" s="64"/>
    </row>
    <row r="12" ht="14.25">
      <c r="A12" s="26">
        <v>40</v>
      </c>
      <c r="B12" s="26">
        <v>295</v>
      </c>
      <c r="C12" s="22"/>
      <c r="D12" s="22"/>
      <c r="E12" s="22"/>
      <c r="F12" s="22"/>
      <c r="G12" s="22"/>
      <c r="H12" s="22"/>
      <c r="I12" s="22"/>
      <c r="J12" s="64"/>
      <c r="K12" s="64"/>
      <c r="L12" s="64"/>
    </row>
    <row r="13" ht="14.25">
      <c r="A13" s="50"/>
      <c r="B13" s="50"/>
      <c r="C13" s="41"/>
      <c r="D13" s="22"/>
      <c r="E13" s="22"/>
      <c r="F13" s="22"/>
      <c r="G13" s="22"/>
      <c r="H13" s="22"/>
      <c r="I13" s="22"/>
      <c r="J13" s="64"/>
      <c r="K13" s="64"/>
      <c r="L13" s="64"/>
    </row>
    <row r="14" ht="14.25">
      <c r="A14" s="51" t="s">
        <v>277</v>
      </c>
      <c r="B14" s="52"/>
      <c r="C14" s="53"/>
      <c r="D14" s="22"/>
      <c r="E14" s="22"/>
      <c r="F14" s="22"/>
      <c r="G14" s="22"/>
      <c r="H14" s="22"/>
      <c r="I14" s="22"/>
      <c r="J14" s="64"/>
      <c r="K14" s="64"/>
      <c r="L14" s="64"/>
    </row>
    <row r="15" ht="14.25">
      <c r="A15" s="54" t="s">
        <v>61</v>
      </c>
      <c r="B15" s="54" t="s">
        <v>62</v>
      </c>
      <c r="C15" s="22"/>
      <c r="D15" s="22"/>
      <c r="E15" s="22"/>
      <c r="F15" s="22"/>
      <c r="G15" s="22"/>
      <c r="H15" s="22"/>
      <c r="I15" s="22"/>
      <c r="J15" s="64"/>
      <c r="K15" s="64"/>
      <c r="L15" s="64"/>
    </row>
    <row r="16" ht="42.75">
      <c r="A16" s="26" t="s">
        <v>278</v>
      </c>
      <c r="B16" s="62">
        <f>COUNT(A5:A12)</f>
        <v>8</v>
      </c>
      <c r="C16" s="22"/>
      <c r="D16" s="22"/>
      <c r="E16" s="22"/>
      <c r="F16" s="22"/>
      <c r="G16" s="22"/>
      <c r="H16" s="22"/>
      <c r="I16" s="22"/>
      <c r="J16" s="64"/>
      <c r="K16" s="64"/>
      <c r="L16" s="64"/>
    </row>
    <row r="17" ht="28.5">
      <c r="A17" s="26" t="s">
        <v>279</v>
      </c>
      <c r="B17" s="62">
        <f>AVERAGE(A5:A12)</f>
        <v>31.75</v>
      </c>
      <c r="C17" s="22"/>
      <c r="D17" s="22"/>
      <c r="E17" s="22"/>
      <c r="F17" s="22"/>
      <c r="G17" s="22"/>
      <c r="H17" s="22"/>
      <c r="I17" s="22"/>
      <c r="J17" s="64"/>
      <c r="K17" s="64"/>
      <c r="L17" s="64"/>
    </row>
    <row r="18" ht="28.5">
      <c r="A18" s="26" t="s">
        <v>280</v>
      </c>
      <c r="B18" s="62">
        <f>AVERAGE(B5:B12)</f>
        <v>208.25</v>
      </c>
      <c r="C18" s="22"/>
      <c r="D18" s="22"/>
      <c r="E18" s="22"/>
      <c r="F18" s="22"/>
      <c r="G18" s="22"/>
      <c r="H18" s="22"/>
      <c r="I18" s="22"/>
      <c r="J18" s="64"/>
      <c r="K18" s="64"/>
      <c r="L18" s="64"/>
    </row>
    <row r="19" ht="42.75">
      <c r="A19" s="26" t="s">
        <v>281</v>
      </c>
      <c r="B19" s="62">
        <f>CORREL(A5:A12,B5:B12)</f>
        <v>0.99683040466180528</v>
      </c>
      <c r="C19" s="22"/>
      <c r="D19" s="22"/>
      <c r="E19" s="22"/>
      <c r="F19" s="22"/>
      <c r="G19" s="22"/>
      <c r="H19" s="22"/>
      <c r="I19" s="22"/>
      <c r="J19" s="64"/>
      <c r="K19" s="64"/>
      <c r="L19" s="64"/>
    </row>
    <row r="20" ht="14.25">
      <c r="A20" s="22"/>
      <c r="B20" s="22"/>
      <c r="C20" s="22"/>
      <c r="D20" s="22"/>
      <c r="E20" s="22"/>
      <c r="F20" s="22"/>
      <c r="G20" s="22"/>
      <c r="H20" s="22"/>
      <c r="I20" s="22"/>
      <c r="J20" s="64"/>
      <c r="K20" s="64"/>
      <c r="L20" s="64"/>
    </row>
    <row r="21" ht="14.25">
      <c r="A21" s="22"/>
      <c r="B21" s="22"/>
      <c r="C21" s="22"/>
      <c r="D21" s="22"/>
      <c r="E21" s="22"/>
      <c r="F21" s="22"/>
      <c r="G21" s="22"/>
      <c r="H21" s="22"/>
      <c r="I21" s="22"/>
      <c r="J21" s="64"/>
      <c r="K21" s="64"/>
      <c r="L21" s="64"/>
    </row>
    <row r="22" ht="14.25">
      <c r="A22" s="23" t="s">
        <v>282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ht="28.5">
      <c r="A23" s="54" t="s">
        <v>283</v>
      </c>
      <c r="B23" s="54" t="s">
        <v>284</v>
      </c>
      <c r="C23" s="37"/>
      <c r="D23" s="22"/>
      <c r="E23" s="22"/>
      <c r="F23" s="22"/>
      <c r="G23" s="22"/>
      <c r="H23" s="22"/>
      <c r="I23" s="22"/>
      <c r="J23" s="64"/>
      <c r="K23" s="64"/>
      <c r="L23" s="64"/>
    </row>
    <row r="24" ht="14.25">
      <c r="A24" s="26">
        <v>2.7999999999999998</v>
      </c>
      <c r="B24" s="26">
        <v>38</v>
      </c>
      <c r="C24" s="22"/>
      <c r="D24" s="22"/>
      <c r="E24" s="22"/>
      <c r="F24" s="22"/>
      <c r="G24" s="22"/>
      <c r="H24" s="22"/>
      <c r="I24" s="22"/>
      <c r="J24" s="64"/>
      <c r="K24" s="64"/>
      <c r="L24" s="64"/>
    </row>
    <row r="25" ht="14.25">
      <c r="A25" s="26">
        <v>3</v>
      </c>
      <c r="B25" s="26">
        <v>42</v>
      </c>
      <c r="C25" s="22"/>
      <c r="D25" s="22"/>
      <c r="E25" s="22"/>
      <c r="F25" s="22"/>
      <c r="G25" s="22"/>
      <c r="H25" s="22"/>
      <c r="I25" s="22"/>
      <c r="J25" s="64"/>
      <c r="K25" s="64"/>
      <c r="L25" s="64"/>
    </row>
    <row r="26" ht="14.25">
      <c r="A26" s="26">
        <v>3.2000000000000002</v>
      </c>
      <c r="B26" s="26">
        <v>45</v>
      </c>
      <c r="C26" s="22"/>
      <c r="D26" s="22"/>
      <c r="E26" s="22"/>
      <c r="F26" s="22"/>
      <c r="G26" s="22"/>
      <c r="H26" s="22"/>
      <c r="I26" s="22"/>
      <c r="J26" s="64"/>
      <c r="K26" s="64"/>
      <c r="L26" s="64"/>
    </row>
    <row r="27" ht="14.25">
      <c r="A27" s="26">
        <v>3.2999999999999998</v>
      </c>
      <c r="B27" s="26">
        <v>48</v>
      </c>
      <c r="C27" s="22"/>
      <c r="D27" s="22"/>
      <c r="E27" s="22"/>
      <c r="F27" s="22"/>
      <c r="G27" s="22"/>
      <c r="H27" s="22"/>
      <c r="I27" s="22"/>
      <c r="J27" s="64"/>
      <c r="K27" s="64"/>
      <c r="L27" s="64"/>
    </row>
    <row r="28" ht="14.25">
      <c r="A28" s="26">
        <v>3.5</v>
      </c>
      <c r="B28" s="26">
        <v>52</v>
      </c>
      <c r="C28" s="22"/>
      <c r="D28" s="22"/>
      <c r="E28" s="22"/>
      <c r="F28" s="22"/>
      <c r="G28" s="22"/>
      <c r="H28" s="22"/>
      <c r="I28" s="22"/>
      <c r="J28" s="64"/>
      <c r="K28" s="64"/>
      <c r="L28" s="64"/>
    </row>
    <row r="29" ht="14.25">
      <c r="A29" s="26">
        <v>3.6000000000000001</v>
      </c>
      <c r="B29" s="26">
        <v>55</v>
      </c>
      <c r="C29" s="22"/>
      <c r="D29" s="22"/>
      <c r="E29" s="22"/>
      <c r="F29" s="22"/>
      <c r="G29" s="22"/>
      <c r="H29" s="22"/>
      <c r="I29" s="22"/>
      <c r="J29" s="64"/>
      <c r="K29" s="64"/>
      <c r="L29" s="64"/>
    </row>
    <row r="30" ht="14.25">
      <c r="A30" s="26">
        <v>3.7000000000000002</v>
      </c>
      <c r="B30" s="26">
        <v>58</v>
      </c>
      <c r="C30" s="22"/>
      <c r="D30" s="22"/>
      <c r="E30" s="22"/>
      <c r="F30" s="22"/>
      <c r="G30" s="22"/>
      <c r="H30" s="22"/>
      <c r="I30" s="22"/>
      <c r="J30" s="64"/>
      <c r="K30" s="64"/>
      <c r="L30" s="64"/>
    </row>
    <row r="31" ht="14.25">
      <c r="A31" s="26">
        <v>3.7999999999999998</v>
      </c>
      <c r="B31" s="26">
        <v>62</v>
      </c>
      <c r="C31" s="22"/>
      <c r="D31" s="22"/>
      <c r="E31" s="22"/>
      <c r="F31" s="22"/>
      <c r="G31" s="22"/>
      <c r="H31" s="22"/>
      <c r="I31" s="22"/>
      <c r="J31" s="64"/>
      <c r="K31" s="64"/>
      <c r="L31" s="64"/>
    </row>
    <row r="32" ht="14.25">
      <c r="A32" s="26">
        <v>3.8999999999999999</v>
      </c>
      <c r="B32" s="26">
        <v>67</v>
      </c>
      <c r="C32" s="22"/>
      <c r="D32" s="22"/>
      <c r="E32" s="22"/>
      <c r="F32" s="22"/>
      <c r="G32" s="22"/>
      <c r="H32" s="22"/>
      <c r="I32" s="22"/>
      <c r="J32" s="64"/>
      <c r="K32" s="64"/>
      <c r="L32" s="64"/>
    </row>
    <row r="33" ht="14.25">
      <c r="A33" s="26">
        <v>4</v>
      </c>
      <c r="B33" s="26">
        <v>72</v>
      </c>
      <c r="C33" s="22"/>
      <c r="D33" s="22"/>
      <c r="E33" s="22"/>
      <c r="F33" s="22"/>
      <c r="G33" s="22"/>
      <c r="H33" s="22"/>
      <c r="I33" s="22"/>
      <c r="J33" s="64"/>
      <c r="K33" s="64"/>
      <c r="L33" s="64"/>
    </row>
    <row r="34" ht="14.25">
      <c r="A34" s="26">
        <v>4</v>
      </c>
      <c r="B34" s="26">
        <v>70</v>
      </c>
      <c r="C34" s="22"/>
      <c r="D34" s="22"/>
      <c r="E34" s="22"/>
      <c r="F34" s="22"/>
      <c r="G34" s="22"/>
      <c r="H34" s="22"/>
      <c r="I34" s="22"/>
      <c r="J34" s="64"/>
      <c r="K34" s="64"/>
      <c r="L34" s="64"/>
    </row>
    <row r="35" ht="14.25">
      <c r="A35" s="50"/>
      <c r="B35" s="50"/>
      <c r="C35" s="41"/>
      <c r="D35" s="22"/>
      <c r="E35" s="22"/>
      <c r="F35" s="22"/>
      <c r="G35" s="22"/>
      <c r="H35" s="22"/>
      <c r="I35" s="22"/>
      <c r="J35" s="64"/>
      <c r="K35" s="64"/>
      <c r="L35" s="64"/>
    </row>
    <row r="36" ht="14.25">
      <c r="A36" s="51" t="s">
        <v>277</v>
      </c>
      <c r="B36" s="52"/>
      <c r="C36" s="53"/>
      <c r="D36" s="22"/>
      <c r="E36" s="22"/>
      <c r="F36" s="22"/>
      <c r="G36" s="22"/>
      <c r="H36" s="22"/>
      <c r="I36" s="22"/>
      <c r="J36" s="64"/>
      <c r="K36" s="64"/>
      <c r="L36" s="64"/>
    </row>
    <row r="37" ht="14.25">
      <c r="A37" s="54" t="s">
        <v>61</v>
      </c>
      <c r="B37" s="54" t="s">
        <v>62</v>
      </c>
      <c r="C37" s="22"/>
      <c r="D37" s="22"/>
      <c r="E37" s="22"/>
      <c r="F37" s="22"/>
      <c r="G37" s="22"/>
      <c r="H37" s="22"/>
      <c r="I37" s="22"/>
      <c r="J37" s="64"/>
      <c r="K37" s="64"/>
      <c r="L37" s="64"/>
    </row>
    <row r="38" ht="42.75">
      <c r="A38" s="26" t="s">
        <v>278</v>
      </c>
      <c r="B38" s="62">
        <f>COUNT(A24:A34)</f>
        <v>11</v>
      </c>
      <c r="C38" s="22"/>
      <c r="D38" s="22"/>
      <c r="E38" s="22"/>
      <c r="F38" s="22"/>
      <c r="G38" s="22"/>
      <c r="H38" s="22"/>
      <c r="I38" s="22"/>
      <c r="J38" s="64"/>
      <c r="K38" s="64"/>
      <c r="L38" s="64"/>
    </row>
    <row r="39" ht="28.5">
      <c r="A39" s="26" t="s">
        <v>279</v>
      </c>
      <c r="B39" s="62">
        <f>AVERAGE(A24:A34)</f>
        <v>3.5272727272727269</v>
      </c>
      <c r="C39" s="22"/>
      <c r="D39" s="22"/>
      <c r="E39" s="22"/>
      <c r="F39" s="22"/>
      <c r="G39" s="22"/>
      <c r="H39" s="22"/>
      <c r="I39" s="22"/>
      <c r="J39" s="64"/>
      <c r="K39" s="64"/>
      <c r="L39" s="64"/>
    </row>
    <row r="40" ht="28.5">
      <c r="A40" s="26" t="s">
        <v>280</v>
      </c>
      <c r="B40" s="62">
        <f>AVERAGE(B24:B34)</f>
        <v>55.363636363636367</v>
      </c>
      <c r="C40" s="22"/>
      <c r="D40" s="22"/>
      <c r="E40" s="22"/>
      <c r="F40" s="22"/>
      <c r="G40" s="22"/>
      <c r="H40" s="22"/>
      <c r="I40" s="22"/>
      <c r="J40" s="64"/>
      <c r="K40" s="64"/>
      <c r="L40" s="64"/>
    </row>
    <row r="41" ht="42.75">
      <c r="A41" s="26" t="s">
        <v>281</v>
      </c>
      <c r="B41" s="62">
        <f>CORREL(A24:A34,B24:B34)</f>
        <v>0.98231301636520074</v>
      </c>
      <c r="C41" s="22"/>
      <c r="D41" s="22"/>
      <c r="E41" s="22"/>
      <c r="F41" s="22"/>
      <c r="G41" s="22"/>
      <c r="H41" s="22"/>
      <c r="I41" s="22"/>
      <c r="J41" s="64"/>
      <c r="K41" s="64"/>
      <c r="L41" s="64"/>
    </row>
    <row r="42" ht="14.25">
      <c r="A42" s="22"/>
      <c r="B42" s="22"/>
      <c r="C42" s="22"/>
      <c r="D42" s="22"/>
      <c r="E42" s="22"/>
      <c r="F42" s="22"/>
      <c r="G42" s="22"/>
      <c r="H42" s="22"/>
      <c r="I42" s="22"/>
      <c r="J42" s="64"/>
      <c r="K42" s="64"/>
      <c r="L42" s="64"/>
    </row>
    <row r="43" ht="14.25">
      <c r="A43" s="22"/>
      <c r="B43" s="22"/>
      <c r="C43" s="22"/>
      <c r="D43" s="22"/>
      <c r="E43" s="22"/>
      <c r="F43" s="22"/>
      <c r="G43" s="22"/>
      <c r="H43" s="22"/>
      <c r="I43" s="22"/>
      <c r="J43" s="64"/>
      <c r="K43" s="64"/>
      <c r="L43" s="64"/>
    </row>
    <row r="44" ht="14.25">
      <c r="A44" s="23" t="s">
        <v>285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ht="42.75">
      <c r="A45" s="54" t="s">
        <v>254</v>
      </c>
      <c r="B45" s="54" t="s">
        <v>286</v>
      </c>
      <c r="C45" s="37"/>
      <c r="D45" s="22"/>
      <c r="E45" s="22"/>
      <c r="F45" s="22"/>
      <c r="G45" s="22"/>
      <c r="H45" s="22"/>
      <c r="I45" s="22"/>
      <c r="J45" s="64"/>
      <c r="K45" s="64"/>
      <c r="L45" s="64"/>
    </row>
    <row r="46" ht="14.25">
      <c r="A46" s="26">
        <v>15</v>
      </c>
      <c r="B46" s="26">
        <v>42</v>
      </c>
      <c r="C46" s="22"/>
      <c r="D46" s="22"/>
      <c r="E46" s="22"/>
      <c r="F46" s="22"/>
      <c r="G46" s="22"/>
      <c r="H46" s="22"/>
      <c r="I46" s="22"/>
      <c r="J46" s="64"/>
      <c r="K46" s="64"/>
      <c r="L46" s="64"/>
    </row>
    <row r="47" ht="14.25">
      <c r="A47" s="26">
        <v>22</v>
      </c>
      <c r="B47" s="26">
        <v>58</v>
      </c>
      <c r="C47" s="22"/>
      <c r="D47" s="22"/>
      <c r="E47" s="22"/>
      <c r="F47" s="22"/>
      <c r="G47" s="22"/>
      <c r="H47" s="22"/>
      <c r="I47" s="22"/>
      <c r="J47" s="64"/>
      <c r="K47" s="64"/>
      <c r="L47" s="64"/>
    </row>
    <row r="48" ht="14.25">
      <c r="A48" s="26">
        <v>30</v>
      </c>
      <c r="B48" s="26">
        <v>72</v>
      </c>
      <c r="C48" s="22"/>
      <c r="D48" s="22"/>
      <c r="E48" s="22"/>
      <c r="F48" s="22"/>
      <c r="G48" s="22"/>
      <c r="H48" s="22"/>
      <c r="I48" s="22"/>
      <c r="J48" s="64"/>
      <c r="K48" s="64"/>
      <c r="L48" s="64"/>
    </row>
    <row r="49" ht="14.25">
      <c r="A49" s="26">
        <v>38</v>
      </c>
      <c r="B49" s="26">
        <v>85</v>
      </c>
      <c r="C49" s="22"/>
      <c r="D49" s="22"/>
      <c r="E49" s="22"/>
      <c r="F49" s="22"/>
      <c r="G49" s="22"/>
      <c r="H49" s="22"/>
      <c r="I49" s="22"/>
      <c r="J49" s="64"/>
      <c r="K49" s="64"/>
      <c r="L49" s="64"/>
    </row>
    <row r="50" ht="14.25">
      <c r="A50" s="26">
        <v>45</v>
      </c>
      <c r="B50" s="26">
        <v>98</v>
      </c>
      <c r="C50" s="22"/>
      <c r="D50" s="22"/>
      <c r="E50" s="22"/>
      <c r="F50" s="22"/>
      <c r="G50" s="22"/>
      <c r="H50" s="22"/>
      <c r="I50" s="22"/>
      <c r="J50" s="64"/>
      <c r="K50" s="64"/>
      <c r="L50" s="64"/>
    </row>
    <row r="51" ht="14.25">
      <c r="A51" s="26">
        <v>52</v>
      </c>
      <c r="B51" s="26">
        <v>112</v>
      </c>
      <c r="C51" s="22"/>
      <c r="D51" s="22"/>
      <c r="E51" s="22"/>
      <c r="F51" s="22"/>
      <c r="G51" s="22"/>
      <c r="H51" s="22"/>
      <c r="I51" s="22"/>
      <c r="J51" s="64"/>
      <c r="K51" s="64"/>
      <c r="L51" s="64"/>
    </row>
    <row r="52" ht="14.25">
      <c r="A52" s="26">
        <v>60</v>
      </c>
      <c r="B52" s="26">
        <v>125</v>
      </c>
      <c r="C52" s="22"/>
      <c r="D52" s="22"/>
      <c r="E52" s="22"/>
      <c r="F52" s="22"/>
      <c r="G52" s="22"/>
      <c r="H52" s="22"/>
      <c r="I52" s="22"/>
      <c r="J52" s="64"/>
      <c r="K52" s="64"/>
      <c r="L52" s="64"/>
    </row>
    <row r="53" ht="14.25">
      <c r="A53" s="26">
        <v>68</v>
      </c>
      <c r="B53" s="26">
        <v>140</v>
      </c>
      <c r="C53" s="22"/>
      <c r="D53" s="22"/>
      <c r="E53" s="22"/>
      <c r="F53" s="22"/>
      <c r="G53" s="22"/>
      <c r="H53" s="22"/>
      <c r="I53" s="22"/>
      <c r="J53" s="64"/>
      <c r="K53" s="64"/>
      <c r="L53" s="64"/>
    </row>
    <row r="54" ht="14.25">
      <c r="A54" s="50"/>
      <c r="B54" s="50"/>
      <c r="C54" s="41"/>
      <c r="D54" s="22"/>
      <c r="E54" s="22"/>
      <c r="F54" s="22"/>
      <c r="G54" s="22"/>
      <c r="H54" s="22"/>
      <c r="I54" s="22"/>
      <c r="J54" s="64"/>
      <c r="K54" s="64"/>
      <c r="L54" s="64"/>
    </row>
    <row r="55" ht="14.25">
      <c r="A55" s="51" t="s">
        <v>277</v>
      </c>
      <c r="B55" s="52"/>
      <c r="C55" s="53"/>
      <c r="D55" s="22"/>
      <c r="E55" s="22"/>
      <c r="F55" s="22"/>
      <c r="G55" s="22"/>
      <c r="H55" s="22"/>
      <c r="I55" s="22"/>
      <c r="J55" s="64"/>
      <c r="K55" s="64"/>
      <c r="L55" s="64"/>
    </row>
    <row r="56" ht="14.25">
      <c r="A56" s="54" t="s">
        <v>61</v>
      </c>
      <c r="B56" s="54" t="s">
        <v>62</v>
      </c>
      <c r="C56" s="22"/>
      <c r="D56" s="22"/>
      <c r="E56" s="22"/>
      <c r="F56" s="22"/>
      <c r="G56" s="22"/>
      <c r="H56" s="22"/>
      <c r="I56" s="22"/>
      <c r="J56" s="64"/>
      <c r="K56" s="64"/>
      <c r="L56" s="64"/>
    </row>
    <row r="57" ht="42.75">
      <c r="A57" s="26" t="s">
        <v>278</v>
      </c>
      <c r="B57" s="62">
        <f>COUNT(A46:A53)</f>
        <v>8</v>
      </c>
      <c r="C57" s="22"/>
      <c r="D57" s="22"/>
      <c r="E57" s="22"/>
      <c r="F57" s="22"/>
      <c r="G57" s="22"/>
      <c r="H57" s="22"/>
      <c r="I57" s="22"/>
      <c r="J57" s="64"/>
      <c r="K57" s="64"/>
      <c r="L57" s="64"/>
    </row>
    <row r="58" ht="28.5">
      <c r="A58" s="26" t="s">
        <v>279</v>
      </c>
      <c r="B58" s="62">
        <f>AVERAGE(A46:A53)</f>
        <v>41.25</v>
      </c>
      <c r="C58" s="22"/>
      <c r="D58" s="22"/>
      <c r="E58" s="22"/>
      <c r="F58" s="22"/>
      <c r="G58" s="22"/>
      <c r="H58" s="22"/>
      <c r="I58" s="22"/>
      <c r="J58" s="64"/>
      <c r="K58" s="64"/>
      <c r="L58" s="64"/>
    </row>
    <row r="59" ht="28.5">
      <c r="A59" s="26" t="s">
        <v>280</v>
      </c>
      <c r="B59" s="62">
        <f>AVERAGE(B46:B53)</f>
        <v>91.5</v>
      </c>
      <c r="C59" s="22"/>
      <c r="D59" s="22"/>
      <c r="E59" s="22"/>
      <c r="F59" s="22"/>
      <c r="G59" s="22"/>
      <c r="H59" s="22"/>
      <c r="I59" s="22"/>
      <c r="J59" s="64"/>
      <c r="K59" s="64"/>
      <c r="L59" s="64"/>
    </row>
    <row r="60" ht="42.75">
      <c r="A60" s="26" t="s">
        <v>281</v>
      </c>
      <c r="B60" s="62">
        <f>CORREL(A46:A53,B46:B53)</f>
        <v>0.99949376822904157</v>
      </c>
      <c r="C60" s="22"/>
      <c r="D60" s="22"/>
      <c r="E60" s="22"/>
      <c r="F60" s="22"/>
      <c r="G60" s="22"/>
      <c r="H60" s="22"/>
      <c r="I60" s="22"/>
      <c r="J60" s="64"/>
      <c r="K60" s="64"/>
      <c r="L60" s="64"/>
    </row>
    <row r="61" ht="14.25">
      <c r="A61" s="22"/>
      <c r="B61" s="22"/>
      <c r="C61" s="22"/>
      <c r="D61" s="22"/>
      <c r="E61" s="22"/>
      <c r="F61" s="22"/>
      <c r="G61" s="22"/>
      <c r="H61" s="22"/>
      <c r="I61" s="22"/>
      <c r="J61" s="64"/>
      <c r="K61" s="64"/>
      <c r="L61" s="64"/>
    </row>
    <row r="62" ht="14.25">
      <c r="A62" s="22"/>
      <c r="B62" s="22"/>
      <c r="C62" s="22"/>
      <c r="D62" s="22"/>
      <c r="E62" s="22"/>
      <c r="F62" s="22"/>
      <c r="G62" s="22"/>
      <c r="H62" s="22"/>
      <c r="I62" s="22"/>
      <c r="J62" s="64"/>
      <c r="K62" s="64"/>
      <c r="L62" s="64"/>
    </row>
    <row r="63" ht="14.25">
      <c r="A63" s="23" t="s">
        <v>287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ht="28.5">
      <c r="A64" s="54" t="s">
        <v>288</v>
      </c>
      <c r="B64" s="54" t="s">
        <v>289</v>
      </c>
      <c r="C64" s="54" t="s">
        <v>231</v>
      </c>
      <c r="D64" s="54" t="s">
        <v>232</v>
      </c>
      <c r="E64" s="54" t="s">
        <v>290</v>
      </c>
      <c r="F64" s="37"/>
      <c r="G64" s="22"/>
      <c r="H64" s="22"/>
      <c r="I64" s="22"/>
      <c r="J64" s="64"/>
      <c r="K64" s="64"/>
      <c r="L64" s="64"/>
    </row>
    <row r="65" ht="14.25">
      <c r="A65" s="26">
        <v>-2</v>
      </c>
      <c r="B65" s="26">
        <v>-8</v>
      </c>
      <c r="C65" s="38">
        <f>A65*B65</f>
        <v>16</v>
      </c>
      <c r="D65" s="38">
        <f>A65*A65</f>
        <v>4</v>
      </c>
      <c r="E65" s="38">
        <f>B65*B65</f>
        <v>64</v>
      </c>
      <c r="F65" s="22"/>
      <c r="G65" s="22"/>
      <c r="H65" s="22"/>
      <c r="I65" s="22"/>
      <c r="J65" s="64"/>
      <c r="K65" s="64"/>
      <c r="L65" s="64"/>
    </row>
    <row r="66" ht="14.25">
      <c r="A66" s="26">
        <v>0</v>
      </c>
      <c r="B66" s="26">
        <v>-3</v>
      </c>
      <c r="C66" s="38">
        <f>A66*B66</f>
        <v>0</v>
      </c>
      <c r="D66" s="38">
        <f>A66*A66</f>
        <v>0</v>
      </c>
      <c r="E66" s="38">
        <f>B66*B66</f>
        <v>9</v>
      </c>
      <c r="F66" s="22"/>
      <c r="G66" s="22"/>
      <c r="H66" s="22"/>
      <c r="I66" s="22"/>
      <c r="J66" s="64"/>
      <c r="K66" s="64"/>
      <c r="L66" s="64"/>
    </row>
    <row r="67" ht="14.25">
      <c r="A67" s="26">
        <v>1</v>
      </c>
      <c r="B67" s="26">
        <v>1</v>
      </c>
      <c r="C67" s="38">
        <f>A67*B67</f>
        <v>1</v>
      </c>
      <c r="D67" s="38">
        <f>A67*A67</f>
        <v>1</v>
      </c>
      <c r="E67" s="38">
        <f>B67*B67</f>
        <v>1</v>
      </c>
      <c r="F67" s="22"/>
      <c r="G67" s="22"/>
      <c r="H67" s="22"/>
      <c r="I67" s="22"/>
      <c r="J67" s="64"/>
      <c r="K67" s="64"/>
      <c r="L67" s="64"/>
    </row>
    <row r="68" ht="14.25">
      <c r="A68" s="26">
        <v>3</v>
      </c>
      <c r="B68" s="26">
        <v>5</v>
      </c>
      <c r="C68" s="38">
        <f>A68*B68</f>
        <v>15</v>
      </c>
      <c r="D68" s="38">
        <f>A68*A68</f>
        <v>9</v>
      </c>
      <c r="E68" s="38">
        <f>B68*B68</f>
        <v>25</v>
      </c>
      <c r="F68" s="22"/>
      <c r="G68" s="22"/>
      <c r="H68" s="22"/>
      <c r="I68" s="22"/>
      <c r="J68" s="64"/>
      <c r="K68" s="64"/>
      <c r="L68" s="64"/>
    </row>
    <row r="69" ht="14.25">
      <c r="A69" s="26">
        <v>4</v>
      </c>
      <c r="B69" s="26">
        <v>9</v>
      </c>
      <c r="C69" s="38">
        <f>A69*B69</f>
        <v>36</v>
      </c>
      <c r="D69" s="38">
        <f>A69*A69</f>
        <v>16</v>
      </c>
      <c r="E69" s="38">
        <f>B69*B69</f>
        <v>81</v>
      </c>
      <c r="F69" s="22"/>
      <c r="G69" s="22"/>
      <c r="H69" s="22"/>
      <c r="I69" s="22"/>
      <c r="J69" s="64"/>
      <c r="K69" s="64"/>
      <c r="L69" s="64"/>
    </row>
    <row r="70" ht="14.25">
      <c r="A70" s="26">
        <v>5</v>
      </c>
      <c r="B70" s="26">
        <v>11</v>
      </c>
      <c r="C70" s="38">
        <f>A70*B70</f>
        <v>55</v>
      </c>
      <c r="D70" s="38">
        <f>A70*A70</f>
        <v>25</v>
      </c>
      <c r="E70" s="38">
        <f>B70*B70</f>
        <v>121</v>
      </c>
      <c r="F70" s="22"/>
      <c r="G70" s="22"/>
      <c r="H70" s="22"/>
      <c r="I70" s="22"/>
      <c r="J70" s="64"/>
      <c r="K70" s="64"/>
      <c r="L70" s="64"/>
    </row>
    <row r="71" ht="14.25">
      <c r="A71" s="26">
        <v>7</v>
      </c>
      <c r="B71" s="26">
        <v>15</v>
      </c>
      <c r="C71" s="38">
        <f>A71*B71</f>
        <v>105</v>
      </c>
      <c r="D71" s="38">
        <f>A71*A71</f>
        <v>49</v>
      </c>
      <c r="E71" s="38">
        <f>B71*B71</f>
        <v>225</v>
      </c>
      <c r="F71" s="22"/>
      <c r="G71" s="22"/>
      <c r="H71" s="22"/>
      <c r="I71" s="22"/>
      <c r="J71" s="64"/>
      <c r="K71" s="64"/>
      <c r="L71" s="64"/>
    </row>
    <row r="72" ht="14.25">
      <c r="A72" s="26">
        <v>8</v>
      </c>
      <c r="B72" s="26">
        <v>18</v>
      </c>
      <c r="C72" s="38">
        <f>A72*B72</f>
        <v>144</v>
      </c>
      <c r="D72" s="38">
        <f>A72*A72</f>
        <v>64</v>
      </c>
      <c r="E72" s="38">
        <f>B72*B72</f>
        <v>324</v>
      </c>
      <c r="F72" s="22"/>
      <c r="G72" s="22"/>
      <c r="H72" s="22"/>
      <c r="I72" s="22"/>
      <c r="J72" s="64"/>
      <c r="K72" s="64"/>
      <c r="L72" s="64"/>
    </row>
    <row r="73" ht="14.25">
      <c r="A73" s="26">
        <v>10</v>
      </c>
      <c r="B73" s="26">
        <v>22</v>
      </c>
      <c r="C73" s="38">
        <f>A73*B73</f>
        <v>220</v>
      </c>
      <c r="D73" s="38">
        <f>A73*A73</f>
        <v>100</v>
      </c>
      <c r="E73" s="38">
        <f>B73*B73</f>
        <v>484</v>
      </c>
      <c r="F73" s="22"/>
      <c r="G73" s="22"/>
      <c r="H73" s="22"/>
      <c r="I73" s="22"/>
      <c r="J73" s="64"/>
      <c r="K73" s="64"/>
      <c r="L73" s="64"/>
    </row>
    <row r="74" ht="14.25">
      <c r="A74" s="26">
        <v>12</v>
      </c>
      <c r="B74" s="26">
        <v>25</v>
      </c>
      <c r="C74" s="38">
        <f>A74*B74</f>
        <v>300</v>
      </c>
      <c r="D74" s="38">
        <f>A74*A74</f>
        <v>144</v>
      </c>
      <c r="E74" s="38">
        <f>B74*B74</f>
        <v>625</v>
      </c>
      <c r="F74" s="45"/>
      <c r="G74" s="22"/>
      <c r="H74" s="22"/>
      <c r="I74" s="22"/>
      <c r="J74" s="64"/>
      <c r="K74" s="64"/>
      <c r="L74" s="64"/>
    </row>
    <row r="75" ht="14.25">
      <c r="A75" s="38">
        <f>SUM(A65:A74)</f>
        <v>48</v>
      </c>
      <c r="B75" s="38">
        <f>SUM(B65:B74)</f>
        <v>95</v>
      </c>
      <c r="C75" s="38">
        <f>SUM(C65:C74)</f>
        <v>892</v>
      </c>
      <c r="D75" s="38">
        <f>SUM(D65:D74)</f>
        <v>412</v>
      </c>
      <c r="E75" s="38">
        <f>SUM(E65:E74)</f>
        <v>1959</v>
      </c>
      <c r="F75" s="54" t="s">
        <v>233</v>
      </c>
      <c r="G75" s="22"/>
      <c r="H75" s="22"/>
      <c r="I75" s="22"/>
      <c r="J75" s="64"/>
      <c r="K75" s="64"/>
      <c r="L75" s="64"/>
    </row>
    <row r="76" ht="14.25">
      <c r="A76" s="50"/>
      <c r="B76" s="50"/>
      <c r="C76" s="50"/>
      <c r="D76" s="50"/>
      <c r="E76" s="50"/>
      <c r="F76" s="22"/>
      <c r="G76" s="22"/>
      <c r="H76" s="22"/>
      <c r="I76" s="22"/>
      <c r="J76" s="64"/>
      <c r="K76" s="64"/>
      <c r="L76" s="64"/>
    </row>
    <row r="77" ht="14.25">
      <c r="A77" s="51" t="s">
        <v>291</v>
      </c>
      <c r="B77" s="52"/>
      <c r="C77" s="52"/>
      <c r="D77" s="52"/>
      <c r="E77" s="53"/>
      <c r="F77" s="22"/>
      <c r="G77" s="22"/>
      <c r="H77" s="22"/>
      <c r="I77" s="22"/>
      <c r="J77" s="64"/>
      <c r="K77" s="64"/>
      <c r="L77" s="64"/>
    </row>
    <row r="78" ht="14.25">
      <c r="A78" s="54" t="s">
        <v>61</v>
      </c>
      <c r="B78" s="54" t="s">
        <v>141</v>
      </c>
      <c r="C78" s="54" t="s">
        <v>62</v>
      </c>
      <c r="D78" s="22"/>
      <c r="E78" s="22"/>
      <c r="F78" s="22"/>
      <c r="G78" s="22"/>
      <c r="H78" s="22"/>
      <c r="I78" s="22"/>
      <c r="J78" s="64"/>
      <c r="K78" s="64"/>
      <c r="L78" s="64"/>
    </row>
    <row r="79" ht="14.25">
      <c r="A79" s="26" t="s">
        <v>236</v>
      </c>
      <c r="B79" s="58" t="s">
        <v>237</v>
      </c>
      <c r="C79" s="62">
        <f>A75/10</f>
        <v>4.7999999999999998</v>
      </c>
      <c r="D79" s="22"/>
      <c r="E79" s="22"/>
      <c r="F79" s="22"/>
      <c r="G79" s="22"/>
      <c r="H79" s="22"/>
      <c r="I79" s="22"/>
      <c r="J79" s="64"/>
      <c r="K79" s="64"/>
      <c r="L79" s="64"/>
    </row>
    <row r="80" ht="14.25">
      <c r="A80" s="26" t="s">
        <v>238</v>
      </c>
      <c r="B80" s="58" t="s">
        <v>239</v>
      </c>
      <c r="C80" s="62">
        <f>B75/10</f>
        <v>9.5</v>
      </c>
      <c r="D80" s="22"/>
      <c r="E80" s="22"/>
      <c r="F80" s="22"/>
      <c r="G80" s="22"/>
      <c r="H80" s="22"/>
      <c r="I80" s="22"/>
      <c r="J80" s="64"/>
      <c r="K80" s="64"/>
      <c r="L80" s="64"/>
    </row>
    <row r="81" ht="14.25">
      <c r="A81" s="26" t="s">
        <v>240</v>
      </c>
      <c r="B81" s="58" t="s">
        <v>241</v>
      </c>
      <c r="C81" s="62">
        <f>D75-(A75)^2/10</f>
        <v>181.59999999999999</v>
      </c>
      <c r="D81" s="22"/>
      <c r="E81" s="22"/>
      <c r="F81" s="22"/>
      <c r="G81" s="22"/>
      <c r="H81" s="22"/>
      <c r="I81" s="22"/>
      <c r="J81" s="64"/>
      <c r="K81" s="64"/>
      <c r="L81" s="64"/>
    </row>
    <row r="82" ht="14.25">
      <c r="A82" s="26" t="s">
        <v>292</v>
      </c>
      <c r="B82" s="58" t="s">
        <v>293</v>
      </c>
      <c r="C82" s="62">
        <f>E75-(B75)^2/10</f>
        <v>1056.5</v>
      </c>
      <c r="D82" s="22"/>
      <c r="E82" s="22"/>
      <c r="F82" s="22"/>
      <c r="G82" s="22"/>
      <c r="H82" s="22"/>
      <c r="I82" s="22"/>
      <c r="J82" s="64"/>
      <c r="K82" s="64"/>
      <c r="L82" s="64"/>
    </row>
    <row r="83" ht="14.25">
      <c r="A83" s="26" t="s">
        <v>242</v>
      </c>
      <c r="B83" s="58" t="s">
        <v>243</v>
      </c>
      <c r="C83" s="62">
        <f>C75-A75*B75/10</f>
        <v>436</v>
      </c>
      <c r="D83" s="22"/>
      <c r="E83" s="22"/>
      <c r="F83" s="22"/>
      <c r="G83" s="22"/>
      <c r="H83" s="22"/>
      <c r="I83" s="22"/>
      <c r="J83" s="64"/>
      <c r="K83" s="64"/>
      <c r="L83" s="64"/>
    </row>
    <row r="84" ht="14.25">
      <c r="A84" s="26" t="s">
        <v>294</v>
      </c>
      <c r="B84" s="58" t="s">
        <v>295</v>
      </c>
      <c r="C84" s="62">
        <f>C83/SQRT(C81*C82)</f>
        <v>0.99539124479381236</v>
      </c>
      <c r="D84" s="22"/>
      <c r="E84" s="22"/>
      <c r="F84" s="22"/>
      <c r="G84" s="22"/>
      <c r="H84" s="22"/>
      <c r="I84" s="22"/>
      <c r="J84" s="64"/>
      <c r="K84" s="64"/>
      <c r="L84" s="64"/>
    </row>
    <row r="85" ht="14.25">
      <c r="A85" s="26" t="s">
        <v>296</v>
      </c>
      <c r="B85" s="43"/>
      <c r="C85" s="62">
        <f>CORREL(A65:A74,B65:B74)</f>
        <v>0.99539124479381247</v>
      </c>
      <c r="D85" s="22"/>
      <c r="E85" s="22"/>
      <c r="F85" s="22"/>
      <c r="G85" s="22"/>
      <c r="H85" s="22"/>
      <c r="I85" s="22"/>
      <c r="J85" s="64"/>
      <c r="K85" s="64"/>
      <c r="L85" s="64"/>
    </row>
    <row r="86" ht="14.25">
      <c r="A86" s="22"/>
      <c r="B86" s="22"/>
      <c r="C86" s="22"/>
      <c r="D86" s="22"/>
      <c r="E86" s="22"/>
      <c r="F86" s="22"/>
      <c r="G86" s="22"/>
      <c r="H86" s="22"/>
      <c r="I86" s="22"/>
      <c r="J86" s="64"/>
      <c r="K86" s="64"/>
      <c r="L86" s="64"/>
    </row>
    <row r="87" ht="14.25">
      <c r="A87" s="22"/>
      <c r="B87" s="22"/>
      <c r="C87" s="22"/>
      <c r="D87" s="22"/>
      <c r="E87" s="22"/>
      <c r="F87" s="22"/>
      <c r="G87" s="22"/>
      <c r="H87" s="22"/>
      <c r="I87" s="22"/>
      <c r="J87" s="64"/>
      <c r="K87" s="64"/>
      <c r="L87" s="64"/>
    </row>
    <row r="88" ht="14.25">
      <c r="A88" s="23" t="s">
        <v>297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ht="14.25">
      <c r="A89" s="54" t="s">
        <v>298</v>
      </c>
      <c r="B89" s="54" t="s">
        <v>299</v>
      </c>
      <c r="C89" s="54" t="s">
        <v>231</v>
      </c>
      <c r="D89" s="37"/>
      <c r="E89" s="22"/>
      <c r="F89" s="22"/>
      <c r="G89" s="22"/>
      <c r="H89" s="22"/>
      <c r="I89" s="22"/>
      <c r="J89" s="64"/>
      <c r="K89" s="64"/>
      <c r="L89" s="64"/>
    </row>
    <row r="90" ht="14.25">
      <c r="A90" s="26">
        <v>1.8</v>
      </c>
      <c r="B90" s="26">
        <v>1.1000000000000001</v>
      </c>
      <c r="C90" s="38">
        <f>A90*B90</f>
        <v>1.9800000000000002</v>
      </c>
      <c r="D90" s="22"/>
      <c r="E90" s="22"/>
      <c r="F90" s="22"/>
      <c r="G90" s="22"/>
      <c r="H90" s="22"/>
      <c r="I90" s="22"/>
      <c r="J90" s="64"/>
      <c r="K90" s="64"/>
      <c r="L90" s="64"/>
    </row>
    <row r="91" ht="14.25">
      <c r="A91" s="26">
        <v>2.6000000000000001</v>
      </c>
      <c r="B91" s="26">
        <v>1.8500000000000001</v>
      </c>
      <c r="C91" s="38">
        <f>A91*B91</f>
        <v>4.8100000000000005</v>
      </c>
      <c r="D91" s="22"/>
      <c r="E91" s="22"/>
      <c r="F91" s="22"/>
      <c r="G91" s="22"/>
      <c r="H91" s="22"/>
      <c r="I91" s="22"/>
      <c r="J91" s="64"/>
      <c r="K91" s="64"/>
      <c r="L91" s="64"/>
    </row>
    <row r="92" ht="14.25">
      <c r="A92" s="26">
        <v>3.5</v>
      </c>
      <c r="B92" s="26">
        <v>2.4500000000000002</v>
      </c>
      <c r="C92" s="38">
        <f>A92*B92</f>
        <v>8.5750000000000011</v>
      </c>
      <c r="D92" s="22"/>
      <c r="E92" s="22"/>
      <c r="F92" s="22"/>
      <c r="G92" s="22"/>
      <c r="H92" s="22"/>
      <c r="I92" s="22"/>
      <c r="J92" s="64"/>
      <c r="K92" s="64"/>
      <c r="L92" s="64"/>
    </row>
    <row r="93" ht="14.25">
      <c r="A93" s="26">
        <v>4.2000000000000002</v>
      </c>
      <c r="B93" s="26">
        <v>3.2000000000000002</v>
      </c>
      <c r="C93" s="38">
        <f>A93*B93</f>
        <v>13.440000000000001</v>
      </c>
      <c r="D93" s="22"/>
      <c r="E93" s="22"/>
      <c r="F93" s="22"/>
      <c r="G93" s="22"/>
      <c r="H93" s="22"/>
      <c r="I93" s="22"/>
      <c r="J93" s="64"/>
      <c r="K93" s="64"/>
      <c r="L93" s="64"/>
    </row>
    <row r="94" ht="14.25">
      <c r="A94" s="26">
        <v>5.0999999999999996</v>
      </c>
      <c r="B94" s="26">
        <v>3.8500000000000001</v>
      </c>
      <c r="C94" s="38">
        <f>A94*B94</f>
        <v>19.634999999999998</v>
      </c>
      <c r="D94" s="22"/>
      <c r="E94" s="22"/>
      <c r="F94" s="22"/>
      <c r="G94" s="22"/>
      <c r="H94" s="22"/>
      <c r="I94" s="22"/>
      <c r="J94" s="64"/>
      <c r="K94" s="64"/>
      <c r="L94" s="64"/>
    </row>
    <row r="95" ht="14.25">
      <c r="A95" s="26">
        <v>6</v>
      </c>
      <c r="B95" s="26">
        <v>4.5999999999999996</v>
      </c>
      <c r="C95" s="38">
        <f>A95*B95</f>
        <v>27.599999999999998</v>
      </c>
      <c r="D95" s="22"/>
      <c r="E95" s="22"/>
      <c r="F95" s="22"/>
      <c r="G95" s="22"/>
      <c r="H95" s="22"/>
      <c r="I95" s="22"/>
      <c r="J95" s="64"/>
      <c r="K95" s="64"/>
      <c r="L95" s="64"/>
    </row>
    <row r="96" ht="14.25">
      <c r="A96" s="26">
        <v>7.2000000000000002</v>
      </c>
      <c r="B96" s="26">
        <v>5.25</v>
      </c>
      <c r="C96" s="38">
        <f>A96*B96</f>
        <v>37.800000000000004</v>
      </c>
      <c r="D96" s="22"/>
      <c r="E96" s="22"/>
      <c r="F96" s="22"/>
      <c r="G96" s="22"/>
      <c r="H96" s="22"/>
      <c r="I96" s="22"/>
      <c r="J96" s="64"/>
      <c r="K96" s="64"/>
      <c r="L96" s="64"/>
    </row>
    <row r="97" ht="14.25">
      <c r="A97" s="26">
        <v>8.4000000000000004</v>
      </c>
      <c r="B97" s="26">
        <v>6.0999999999999996</v>
      </c>
      <c r="C97" s="38">
        <f>A97*B97</f>
        <v>51.240000000000002</v>
      </c>
      <c r="D97" s="22"/>
      <c r="E97" s="22"/>
      <c r="F97" s="41"/>
      <c r="G97" s="22"/>
      <c r="H97" s="22"/>
      <c r="I97" s="22"/>
      <c r="J97" s="64"/>
      <c r="K97" s="64"/>
      <c r="L97" s="64"/>
    </row>
    <row r="98" ht="14.25">
      <c r="A98" s="38">
        <f>SUM(A90:A97)</f>
        <v>38.800000000000004</v>
      </c>
      <c r="B98" s="38">
        <f>SUM(B90:B97)</f>
        <v>28.399999999999999</v>
      </c>
      <c r="C98" s="38">
        <f>SUM(C90:C97)</f>
        <v>165.08000000000001</v>
      </c>
      <c r="D98" s="22"/>
      <c r="E98" s="29"/>
      <c r="F98" s="54" t="s">
        <v>233</v>
      </c>
      <c r="G98" s="22"/>
      <c r="H98" s="22"/>
      <c r="I98" s="22"/>
      <c r="J98" s="64"/>
      <c r="K98" s="64"/>
      <c r="L98" s="64"/>
    </row>
    <row r="99" ht="14.25">
      <c r="A99" s="50"/>
      <c r="B99" s="50"/>
      <c r="C99" s="50"/>
      <c r="D99" s="41"/>
      <c r="E99" s="41"/>
      <c r="F99" s="22"/>
      <c r="G99" s="22"/>
      <c r="H99" s="22"/>
      <c r="I99" s="22"/>
      <c r="J99" s="64"/>
      <c r="K99" s="64"/>
      <c r="L99" s="64"/>
    </row>
    <row r="100" ht="14.25">
      <c r="A100" s="51" t="s">
        <v>291</v>
      </c>
      <c r="B100" s="52"/>
      <c r="C100" s="52"/>
      <c r="D100" s="52"/>
      <c r="E100" s="53"/>
      <c r="F100" s="22"/>
      <c r="G100" s="22"/>
      <c r="H100" s="22"/>
      <c r="I100" s="22"/>
      <c r="J100" s="64"/>
      <c r="K100" s="64"/>
      <c r="L100" s="64"/>
    </row>
    <row r="101" ht="14.25">
      <c r="A101" s="54" t="s">
        <v>61</v>
      </c>
      <c r="B101" s="54" t="s">
        <v>141</v>
      </c>
      <c r="C101" s="54" t="s">
        <v>62</v>
      </c>
      <c r="D101" s="22"/>
      <c r="E101" s="22"/>
      <c r="F101" s="22"/>
      <c r="G101" s="22"/>
      <c r="H101" s="22"/>
      <c r="I101" s="22"/>
      <c r="J101" s="64"/>
      <c r="K101" s="64"/>
      <c r="L101" s="64"/>
    </row>
    <row r="102" ht="14.25">
      <c r="A102" s="26" t="s">
        <v>236</v>
      </c>
      <c r="B102" s="58" t="s">
        <v>237</v>
      </c>
      <c r="C102" s="62">
        <f>A98/8</f>
        <v>4.8500000000000005</v>
      </c>
      <c r="D102" s="22"/>
      <c r="E102" s="22"/>
      <c r="F102" s="22"/>
      <c r="G102" s="22"/>
      <c r="H102" s="22"/>
      <c r="I102" s="22"/>
      <c r="J102" s="64"/>
      <c r="K102" s="64"/>
      <c r="L102" s="64"/>
    </row>
    <row r="103" ht="14.25">
      <c r="A103" s="26" t="s">
        <v>238</v>
      </c>
      <c r="B103" s="58" t="s">
        <v>239</v>
      </c>
      <c r="C103" s="62">
        <f>B98/8</f>
        <v>3.5499999999999998</v>
      </c>
      <c r="D103" s="22"/>
      <c r="E103" s="22"/>
      <c r="F103" s="22"/>
      <c r="G103" s="22"/>
      <c r="H103" s="22"/>
      <c r="I103" s="22"/>
      <c r="J103" s="64"/>
      <c r="K103" s="64"/>
      <c r="L103" s="64"/>
    </row>
    <row r="104" ht="14.25">
      <c r="A104" s="26" t="s">
        <v>240</v>
      </c>
      <c r="B104" s="58" t="s">
        <v>241</v>
      </c>
      <c r="C104" s="62">
        <f>SUMPRODUCT((A90:A97-A98/8)^2)</f>
        <v>36.120000000000005</v>
      </c>
      <c r="D104" s="22"/>
      <c r="E104" s="22"/>
      <c r="F104" s="22"/>
      <c r="G104" s="22"/>
      <c r="H104" s="22"/>
      <c r="I104" s="22"/>
      <c r="J104" s="64"/>
      <c r="K104" s="64"/>
      <c r="L104" s="64"/>
    </row>
    <row r="105" ht="14.25">
      <c r="A105" s="26" t="s">
        <v>292</v>
      </c>
      <c r="B105" s="58" t="s">
        <v>293</v>
      </c>
      <c r="C105" s="62">
        <f>SUMPRODUCT((B90:B97-B98/8)^2)</f>
        <v>20.809999999999995</v>
      </c>
      <c r="D105" s="22"/>
      <c r="E105" s="22"/>
      <c r="F105" s="22"/>
      <c r="G105" s="22"/>
      <c r="H105" s="22"/>
      <c r="I105" s="22"/>
      <c r="J105" s="64"/>
      <c r="K105" s="64"/>
      <c r="L105" s="64"/>
    </row>
    <row r="106" ht="14.25">
      <c r="A106" s="26" t="s">
        <v>242</v>
      </c>
      <c r="B106" s="58" t="s">
        <v>243</v>
      </c>
      <c r="C106" s="62">
        <f>C98-A98*B98/8</f>
        <v>27.340000000000003</v>
      </c>
      <c r="D106" s="22"/>
      <c r="E106" s="22"/>
      <c r="F106" s="22"/>
      <c r="G106" s="22"/>
      <c r="H106" s="22"/>
      <c r="I106" s="22"/>
      <c r="J106" s="64"/>
      <c r="K106" s="64"/>
      <c r="L106" s="64"/>
    </row>
    <row r="107" ht="14.25">
      <c r="A107" s="26" t="s">
        <v>294</v>
      </c>
      <c r="B107" s="58" t="s">
        <v>295</v>
      </c>
      <c r="C107" s="62">
        <f>C106/SQRT(C104*C105)</f>
        <v>0.99721453344965638</v>
      </c>
      <c r="D107" s="22"/>
      <c r="E107" s="22"/>
      <c r="F107" s="22"/>
      <c r="G107" s="22"/>
      <c r="H107" s="22"/>
      <c r="I107" s="22"/>
      <c r="J107" s="64"/>
      <c r="K107" s="64"/>
      <c r="L107" s="64"/>
    </row>
    <row r="108" ht="14.25">
      <c r="A108" s="26" t="s">
        <v>296</v>
      </c>
      <c r="B108" s="43"/>
      <c r="C108" s="62">
        <f>CORREL(A90:A97,B90:B97)</f>
        <v>0.99721453344965605</v>
      </c>
      <c r="D108" s="22"/>
      <c r="E108" s="22"/>
      <c r="F108" s="22"/>
      <c r="G108" s="22"/>
      <c r="H108" s="22"/>
      <c r="I108" s="22"/>
      <c r="J108" s="64"/>
      <c r="K108" s="64"/>
      <c r="L108" s="64"/>
    </row>
    <row r="109" ht="14.25">
      <c r="A109" s="22"/>
      <c r="B109" s="22"/>
      <c r="C109" s="22"/>
      <c r="D109" s="22"/>
      <c r="E109" s="22"/>
      <c r="F109" s="22"/>
      <c r="G109" s="22"/>
      <c r="H109" s="22"/>
      <c r="I109" s="22"/>
      <c r="J109" s="64"/>
      <c r="K109" s="64"/>
      <c r="L109" s="64"/>
    </row>
    <row r="110" ht="14.25">
      <c r="A110" s="22"/>
      <c r="B110" s="22"/>
      <c r="C110" s="22"/>
      <c r="D110" s="22"/>
      <c r="E110" s="22"/>
      <c r="F110" s="22"/>
      <c r="G110" s="22"/>
      <c r="H110" s="22"/>
      <c r="I110" s="22"/>
      <c r="J110" s="64"/>
      <c r="K110" s="64"/>
      <c r="L110" s="64"/>
    </row>
    <row r="111" ht="14.25">
      <c r="A111" s="23" t="s">
        <v>300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ht="14.25">
      <c r="A112" s="54" t="s">
        <v>260</v>
      </c>
      <c r="B112" s="54" t="s">
        <v>301</v>
      </c>
      <c r="C112" s="54" t="s">
        <v>231</v>
      </c>
      <c r="D112" s="54" t="s">
        <v>232</v>
      </c>
      <c r="E112" s="54" t="s">
        <v>290</v>
      </c>
      <c r="F112" s="37"/>
      <c r="G112" s="22"/>
      <c r="H112" s="22"/>
      <c r="I112" s="22"/>
      <c r="J112" s="64"/>
      <c r="K112" s="64"/>
      <c r="L112" s="64"/>
    </row>
    <row r="113" ht="14.25">
      <c r="A113" s="26">
        <v>22</v>
      </c>
      <c r="B113" s="26">
        <v>285</v>
      </c>
      <c r="C113" s="38">
        <f>A113*B113</f>
        <v>6270</v>
      </c>
      <c r="D113" s="38">
        <f>A113*A113</f>
        <v>484</v>
      </c>
      <c r="E113" s="38">
        <f>B113*B113</f>
        <v>81225</v>
      </c>
      <c r="F113" s="22"/>
      <c r="G113" s="22"/>
      <c r="H113" s="22"/>
      <c r="I113" s="22"/>
      <c r="J113" s="64"/>
      <c r="K113" s="64"/>
      <c r="L113" s="64"/>
    </row>
    <row r="114" ht="14.25">
      <c r="A114" s="26">
        <v>25</v>
      </c>
      <c r="B114" s="26">
        <v>340</v>
      </c>
      <c r="C114" s="38">
        <f>A114*B114</f>
        <v>8500</v>
      </c>
      <c r="D114" s="38">
        <f>A114*A114</f>
        <v>625</v>
      </c>
      <c r="E114" s="38">
        <f>B114*B114</f>
        <v>115600</v>
      </c>
      <c r="F114" s="22"/>
      <c r="G114" s="22"/>
      <c r="H114" s="22"/>
      <c r="I114" s="22"/>
      <c r="J114" s="64"/>
      <c r="K114" s="64"/>
      <c r="L114" s="64"/>
    </row>
    <row r="115" ht="14.25">
      <c r="A115" s="26">
        <v>28</v>
      </c>
      <c r="B115" s="26">
        <v>420</v>
      </c>
      <c r="C115" s="38">
        <f>A115*B115</f>
        <v>11760</v>
      </c>
      <c r="D115" s="38">
        <f>A115*A115</f>
        <v>784</v>
      </c>
      <c r="E115" s="38">
        <f>B115*B115</f>
        <v>176400</v>
      </c>
      <c r="F115" s="22"/>
      <c r="G115" s="22"/>
      <c r="H115" s="22"/>
      <c r="I115" s="22"/>
      <c r="J115" s="64"/>
      <c r="K115" s="64"/>
      <c r="L115" s="64"/>
    </row>
    <row r="116" ht="14.25">
      <c r="A116" s="26">
        <v>31</v>
      </c>
      <c r="B116" s="26">
        <v>510</v>
      </c>
      <c r="C116" s="38">
        <f>A116*B116</f>
        <v>15810</v>
      </c>
      <c r="D116" s="38">
        <f>A116*A116</f>
        <v>961</v>
      </c>
      <c r="E116" s="38">
        <f>B116*B116</f>
        <v>260100</v>
      </c>
      <c r="F116" s="22"/>
      <c r="G116" s="22"/>
      <c r="H116" s="22"/>
      <c r="I116" s="22"/>
      <c r="J116" s="64"/>
      <c r="K116" s="64"/>
      <c r="L116" s="64"/>
    </row>
    <row r="117" ht="14.25">
      <c r="A117" s="26">
        <v>34</v>
      </c>
      <c r="B117" s="26">
        <v>580</v>
      </c>
      <c r="C117" s="38">
        <f>A117*B117</f>
        <v>19720</v>
      </c>
      <c r="D117" s="38">
        <f>A117*A117</f>
        <v>1156</v>
      </c>
      <c r="E117" s="38">
        <f>B117*B117</f>
        <v>336400</v>
      </c>
      <c r="F117" s="22"/>
      <c r="G117" s="22"/>
      <c r="H117" s="22"/>
      <c r="I117" s="22"/>
      <c r="J117" s="64"/>
      <c r="K117" s="64"/>
      <c r="L117" s="64"/>
    </row>
    <row r="118" ht="14.25">
      <c r="A118" s="26">
        <v>37</v>
      </c>
      <c r="B118" s="26">
        <v>720</v>
      </c>
      <c r="C118" s="38">
        <f>A118*B118</f>
        <v>26640</v>
      </c>
      <c r="D118" s="38">
        <f>A118*A118</f>
        <v>1369</v>
      </c>
      <c r="E118" s="38">
        <f>B118*B118</f>
        <v>518400</v>
      </c>
      <c r="F118" s="22"/>
      <c r="G118" s="22"/>
      <c r="H118" s="22"/>
      <c r="I118" s="22"/>
      <c r="J118" s="64"/>
      <c r="K118" s="64"/>
      <c r="L118" s="64"/>
    </row>
    <row r="119" ht="14.25">
      <c r="A119" s="26">
        <v>40</v>
      </c>
      <c r="B119" s="26">
        <v>850</v>
      </c>
      <c r="C119" s="38">
        <f>A119*B119</f>
        <v>34000</v>
      </c>
      <c r="D119" s="38">
        <f>A119*A119</f>
        <v>1600</v>
      </c>
      <c r="E119" s="38">
        <f>B119*B119</f>
        <v>722500</v>
      </c>
      <c r="F119" s="22"/>
      <c r="G119" s="22"/>
      <c r="H119" s="22"/>
      <c r="I119" s="22"/>
      <c r="J119" s="64"/>
      <c r="K119" s="64"/>
      <c r="L119" s="64"/>
    </row>
    <row r="120" ht="14.25">
      <c r="A120" s="26">
        <v>43</v>
      </c>
      <c r="B120" s="26">
        <v>910</v>
      </c>
      <c r="C120" s="38">
        <f>A120*B120</f>
        <v>39130</v>
      </c>
      <c r="D120" s="38">
        <f>A120*A120</f>
        <v>1849</v>
      </c>
      <c r="E120" s="38">
        <f>B120*B120</f>
        <v>828100</v>
      </c>
      <c r="F120" s="22"/>
      <c r="G120" s="22"/>
      <c r="H120" s="22"/>
      <c r="I120" s="22"/>
      <c r="J120" s="64"/>
      <c r="K120" s="64"/>
      <c r="L120" s="64"/>
    </row>
    <row r="121" ht="14.25">
      <c r="A121" s="26">
        <v>46</v>
      </c>
      <c r="B121" s="26">
        <v>1020</v>
      </c>
      <c r="C121" s="38">
        <f>A121*B121</f>
        <v>46920</v>
      </c>
      <c r="D121" s="38">
        <f>A121*A121</f>
        <v>2116</v>
      </c>
      <c r="E121" s="38">
        <f>B121*B121</f>
        <v>1040400</v>
      </c>
      <c r="F121" s="22"/>
      <c r="G121" s="22"/>
      <c r="H121" s="22"/>
      <c r="I121" s="22"/>
      <c r="J121" s="64"/>
      <c r="K121" s="64"/>
      <c r="L121" s="64"/>
    </row>
    <row r="122" ht="14.25">
      <c r="A122" s="26">
        <v>49</v>
      </c>
      <c r="B122" s="26">
        <v>1180</v>
      </c>
      <c r="C122" s="38">
        <f>A122*B122</f>
        <v>57820</v>
      </c>
      <c r="D122" s="38">
        <f>A122*A122</f>
        <v>2401</v>
      </c>
      <c r="E122" s="38">
        <f>B122*B122</f>
        <v>1392400</v>
      </c>
      <c r="F122" s="45"/>
      <c r="G122" s="22"/>
      <c r="H122" s="22"/>
      <c r="I122" s="22"/>
      <c r="J122" s="64"/>
      <c r="K122" s="64"/>
      <c r="L122" s="64"/>
    </row>
    <row r="123" ht="14.25">
      <c r="A123" s="38">
        <f>SUM(A113:A122)</f>
        <v>355</v>
      </c>
      <c r="B123" s="38">
        <f>SUM(B113:B122)</f>
        <v>6815</v>
      </c>
      <c r="C123" s="38">
        <f>SUM(C113:C122)</f>
        <v>266570</v>
      </c>
      <c r="D123" s="38">
        <f>SUM(D113:D122)</f>
        <v>13345</v>
      </c>
      <c r="E123" s="38">
        <f>SUM(E113:E122)</f>
        <v>5471525</v>
      </c>
      <c r="F123" s="54" t="s">
        <v>233</v>
      </c>
      <c r="G123" s="22"/>
      <c r="H123" s="22"/>
      <c r="I123" s="22"/>
      <c r="J123" s="64"/>
      <c r="K123" s="64"/>
      <c r="L123" s="64"/>
    </row>
    <row r="124" ht="14.25">
      <c r="A124" s="50"/>
      <c r="B124" s="50"/>
      <c r="C124" s="50"/>
      <c r="D124" s="50"/>
      <c r="E124" s="50"/>
      <c r="F124" s="22"/>
      <c r="G124" s="22"/>
      <c r="H124" s="22"/>
      <c r="I124" s="22"/>
      <c r="J124" s="64"/>
      <c r="K124" s="64"/>
      <c r="L124" s="64"/>
    </row>
    <row r="125" ht="14.25">
      <c r="A125" s="51" t="s">
        <v>291</v>
      </c>
      <c r="B125" s="52"/>
      <c r="C125" s="52"/>
      <c r="D125" s="52"/>
      <c r="E125" s="53"/>
      <c r="F125" s="22"/>
      <c r="G125" s="22"/>
      <c r="H125" s="22"/>
      <c r="I125" s="22"/>
      <c r="J125" s="64"/>
      <c r="K125" s="64"/>
      <c r="L125" s="64"/>
    </row>
    <row r="126" ht="14.25">
      <c r="A126" s="54" t="s">
        <v>61</v>
      </c>
      <c r="B126" s="54" t="s">
        <v>141</v>
      </c>
      <c r="C126" s="54" t="s">
        <v>62</v>
      </c>
      <c r="D126" s="22"/>
      <c r="E126" s="22"/>
      <c r="F126" s="22"/>
      <c r="G126" s="22"/>
      <c r="H126" s="22"/>
      <c r="I126" s="22"/>
      <c r="J126" s="64"/>
      <c r="K126" s="64"/>
      <c r="L126" s="64"/>
    </row>
    <row r="127" ht="14.25">
      <c r="A127" s="26" t="s">
        <v>236</v>
      </c>
      <c r="B127" s="58" t="s">
        <v>237</v>
      </c>
      <c r="C127" s="62">
        <f>A123/10</f>
        <v>35.5</v>
      </c>
      <c r="D127" s="22"/>
      <c r="E127" s="22"/>
      <c r="F127" s="22"/>
      <c r="G127" s="22"/>
      <c r="H127" s="22"/>
      <c r="I127" s="22"/>
      <c r="J127" s="64"/>
      <c r="K127" s="64"/>
      <c r="L127" s="64"/>
    </row>
    <row r="128" ht="14.25">
      <c r="A128" s="26" t="s">
        <v>238</v>
      </c>
      <c r="B128" s="58" t="s">
        <v>239</v>
      </c>
      <c r="C128" s="62">
        <f>B123/10</f>
        <v>681.5</v>
      </c>
      <c r="D128" s="22"/>
      <c r="E128" s="22"/>
      <c r="F128" s="22"/>
      <c r="G128" s="22"/>
      <c r="H128" s="22"/>
      <c r="I128" s="22"/>
      <c r="J128" s="64"/>
      <c r="K128" s="64"/>
      <c r="L128" s="64"/>
    </row>
    <row r="129" ht="14.25">
      <c r="A129" s="26" t="s">
        <v>240</v>
      </c>
      <c r="B129" s="58" t="s">
        <v>241</v>
      </c>
      <c r="C129" s="62">
        <f>D123-(A123)^2/10</f>
        <v>742.5</v>
      </c>
      <c r="D129" s="22"/>
      <c r="E129" s="22"/>
      <c r="F129" s="22"/>
      <c r="G129" s="22"/>
      <c r="H129" s="22"/>
      <c r="I129" s="22"/>
      <c r="J129" s="64"/>
      <c r="K129" s="64"/>
      <c r="L129" s="64"/>
    </row>
    <row r="130" ht="14.25">
      <c r="A130" s="26" t="s">
        <v>292</v>
      </c>
      <c r="B130" s="58" t="s">
        <v>293</v>
      </c>
      <c r="C130" s="62">
        <f>E123-(B123)^2/10</f>
        <v>827102.5</v>
      </c>
      <c r="D130" s="22"/>
      <c r="E130" s="22"/>
      <c r="F130" s="22"/>
      <c r="G130" s="22"/>
      <c r="H130" s="22"/>
      <c r="I130" s="22"/>
      <c r="J130" s="64"/>
      <c r="K130" s="64"/>
      <c r="L130" s="64"/>
    </row>
    <row r="131" ht="14.25">
      <c r="A131" s="26" t="s">
        <v>242</v>
      </c>
      <c r="B131" s="58" t="s">
        <v>243</v>
      </c>
      <c r="C131" s="62">
        <f>C123-A123*B123/10</f>
        <v>24637.5</v>
      </c>
      <c r="D131" s="22"/>
      <c r="E131" s="22"/>
      <c r="F131" s="22"/>
      <c r="G131" s="22"/>
      <c r="H131" s="22"/>
      <c r="I131" s="22"/>
      <c r="J131" s="64"/>
      <c r="K131" s="64"/>
      <c r="L131" s="64"/>
    </row>
    <row r="132" ht="14.25">
      <c r="A132" s="26" t="s">
        <v>294</v>
      </c>
      <c r="B132" s="58" t="s">
        <v>295</v>
      </c>
      <c r="C132" s="62">
        <f>C131/SQRT(C129*C130)</f>
        <v>0.9941885143738346</v>
      </c>
      <c r="D132" s="22"/>
      <c r="E132" s="22"/>
      <c r="F132" s="22"/>
      <c r="G132" s="22"/>
      <c r="H132" s="22"/>
      <c r="I132" s="22"/>
      <c r="J132" s="64"/>
      <c r="K132" s="64"/>
      <c r="L132" s="64"/>
    </row>
    <row r="133" ht="14.25">
      <c r="A133" s="26" t="s">
        <v>296</v>
      </c>
      <c r="B133" s="43"/>
      <c r="C133" s="62">
        <f>CORREL(A113:A122,B113:B122)</f>
        <v>0.9941885143738346</v>
      </c>
      <c r="D133" s="22"/>
      <c r="E133" s="22"/>
      <c r="F133" s="22"/>
      <c r="G133" s="22"/>
      <c r="H133" s="22"/>
      <c r="I133" s="22"/>
      <c r="J133" s="64"/>
      <c r="K133" s="64"/>
      <c r="L133" s="64"/>
    </row>
    <row r="134" ht="14.25">
      <c r="A134" s="22"/>
      <c r="B134" s="22"/>
      <c r="C134" s="22"/>
      <c r="D134" s="22"/>
      <c r="E134" s="22"/>
      <c r="F134" s="22"/>
      <c r="G134" s="22"/>
      <c r="H134" s="22"/>
      <c r="I134" s="22"/>
      <c r="J134" s="64"/>
      <c r="K134" s="64"/>
      <c r="L134" s="64"/>
    </row>
    <row r="135" ht="14.25">
      <c r="A135" s="22"/>
      <c r="B135" s="22"/>
      <c r="C135" s="22"/>
      <c r="D135" s="22"/>
      <c r="E135" s="22"/>
      <c r="F135" s="22"/>
      <c r="G135" s="22"/>
      <c r="H135" s="22"/>
      <c r="I135" s="22"/>
      <c r="J135" s="64"/>
      <c r="K135" s="64"/>
      <c r="L135" s="64"/>
    </row>
    <row r="136" ht="14.25">
      <c r="A136" s="23" t="s">
        <v>302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ht="14.25">
      <c r="A137" s="54" t="s">
        <v>303</v>
      </c>
      <c r="B137" s="54" t="s">
        <v>304</v>
      </c>
      <c r="C137" s="54" t="s">
        <v>231</v>
      </c>
      <c r="D137" s="37"/>
      <c r="E137" s="22"/>
      <c r="F137" s="22"/>
      <c r="G137" s="22"/>
      <c r="H137" s="22"/>
      <c r="I137" s="22"/>
      <c r="J137" s="64"/>
      <c r="K137" s="64"/>
      <c r="L137" s="64"/>
    </row>
    <row r="138" ht="14.25">
      <c r="A138" s="26">
        <v>30</v>
      </c>
      <c r="B138" s="26">
        <v>6</v>
      </c>
      <c r="C138" s="38">
        <f>A138*B138</f>
        <v>180</v>
      </c>
      <c r="D138" s="22"/>
      <c r="E138" s="22"/>
      <c r="F138" s="22"/>
      <c r="G138" s="22"/>
      <c r="H138" s="22"/>
      <c r="I138" s="22"/>
      <c r="J138" s="64"/>
      <c r="K138" s="64"/>
      <c r="L138" s="64"/>
    </row>
    <row r="139" ht="14.25">
      <c r="A139" s="26">
        <v>40</v>
      </c>
      <c r="B139" s="26">
        <v>10</v>
      </c>
      <c r="C139" s="38">
        <f>A139*B139</f>
        <v>400</v>
      </c>
      <c r="D139" s="22"/>
      <c r="E139" s="22"/>
      <c r="F139" s="22"/>
      <c r="G139" s="22"/>
      <c r="H139" s="22"/>
      <c r="I139" s="22"/>
      <c r="J139" s="64"/>
      <c r="K139" s="64"/>
      <c r="L139" s="64"/>
    </row>
    <row r="140" ht="14.25">
      <c r="A140" s="26">
        <v>50</v>
      </c>
      <c r="B140" s="26">
        <v>16</v>
      </c>
      <c r="C140" s="38">
        <f>A140*B140</f>
        <v>800</v>
      </c>
      <c r="D140" s="22"/>
      <c r="E140" s="22"/>
      <c r="F140" s="22"/>
      <c r="G140" s="22"/>
      <c r="H140" s="22"/>
      <c r="I140" s="22"/>
      <c r="J140" s="64"/>
      <c r="K140" s="64"/>
      <c r="L140" s="64"/>
    </row>
    <row r="141" ht="14.25">
      <c r="A141" s="26">
        <v>60</v>
      </c>
      <c r="B141" s="26">
        <v>24</v>
      </c>
      <c r="C141" s="38">
        <f>A141*B141</f>
        <v>1440</v>
      </c>
      <c r="D141" s="22"/>
      <c r="E141" s="22"/>
      <c r="F141" s="22"/>
      <c r="G141" s="22"/>
      <c r="H141" s="22"/>
      <c r="I141" s="22"/>
      <c r="J141" s="64"/>
      <c r="K141" s="64"/>
      <c r="L141" s="64"/>
    </row>
    <row r="142" ht="14.25">
      <c r="A142" s="26">
        <v>70</v>
      </c>
      <c r="B142" s="26">
        <v>35</v>
      </c>
      <c r="C142" s="38">
        <f>A142*B142</f>
        <v>2450</v>
      </c>
      <c r="D142" s="22"/>
      <c r="E142" s="22"/>
      <c r="F142" s="22"/>
      <c r="G142" s="22"/>
      <c r="H142" s="22"/>
      <c r="I142" s="22"/>
      <c r="J142" s="64"/>
      <c r="K142" s="64"/>
      <c r="L142" s="64"/>
    </row>
    <row r="143" ht="14.25">
      <c r="A143" s="26">
        <v>80</v>
      </c>
      <c r="B143" s="26">
        <v>44</v>
      </c>
      <c r="C143" s="38">
        <f>A143*B143</f>
        <v>3520</v>
      </c>
      <c r="D143" s="22"/>
      <c r="E143" s="22"/>
      <c r="F143" s="22"/>
      <c r="G143" s="22"/>
      <c r="H143" s="22"/>
      <c r="I143" s="22"/>
      <c r="J143" s="64"/>
      <c r="K143" s="64"/>
      <c r="L143" s="64"/>
    </row>
    <row r="144" ht="14.25">
      <c r="A144" s="26">
        <v>90</v>
      </c>
      <c r="B144" s="26">
        <v>60</v>
      </c>
      <c r="C144" s="38">
        <f>A144*B144</f>
        <v>5400</v>
      </c>
      <c r="D144" s="22"/>
      <c r="E144" s="22"/>
      <c r="F144" s="41"/>
      <c r="G144" s="22"/>
      <c r="H144" s="22"/>
      <c r="I144" s="22"/>
      <c r="J144" s="64"/>
      <c r="K144" s="64"/>
      <c r="L144" s="64"/>
    </row>
    <row r="145" ht="14.25">
      <c r="A145" s="38">
        <f>SUM(A138:A144)</f>
        <v>420</v>
      </c>
      <c r="B145" s="38">
        <f>SUM(B138:B144)</f>
        <v>195</v>
      </c>
      <c r="C145" s="38">
        <f>SUM(C138:C144)</f>
        <v>14190</v>
      </c>
      <c r="D145" s="22"/>
      <c r="E145" s="29"/>
      <c r="F145" s="54" t="s">
        <v>233</v>
      </c>
      <c r="G145" s="22"/>
      <c r="H145" s="22"/>
      <c r="I145" s="22"/>
      <c r="J145" s="64"/>
      <c r="K145" s="64"/>
      <c r="L145" s="64"/>
    </row>
    <row r="146" ht="14.25">
      <c r="A146" s="50"/>
      <c r="B146" s="50"/>
      <c r="C146" s="50"/>
      <c r="D146" s="41"/>
      <c r="E146" s="41"/>
      <c r="F146" s="22"/>
      <c r="G146" s="22"/>
      <c r="H146" s="22"/>
      <c r="I146" s="22"/>
      <c r="J146" s="64"/>
      <c r="K146" s="64"/>
      <c r="L146" s="64"/>
    </row>
    <row r="147" ht="14.25">
      <c r="A147" s="51" t="s">
        <v>291</v>
      </c>
      <c r="B147" s="52"/>
      <c r="C147" s="52"/>
      <c r="D147" s="52"/>
      <c r="E147" s="53"/>
      <c r="F147" s="22"/>
      <c r="G147" s="22"/>
      <c r="H147" s="22"/>
      <c r="I147" s="22"/>
      <c r="J147" s="64"/>
      <c r="K147" s="64"/>
      <c r="L147" s="64"/>
    </row>
    <row r="148" ht="14.25">
      <c r="A148" s="54" t="s">
        <v>61</v>
      </c>
      <c r="B148" s="54" t="s">
        <v>141</v>
      </c>
      <c r="C148" s="54" t="s">
        <v>62</v>
      </c>
      <c r="D148" s="22"/>
      <c r="E148" s="22"/>
      <c r="F148" s="22"/>
      <c r="G148" s="22"/>
      <c r="H148" s="22"/>
      <c r="I148" s="22"/>
      <c r="J148" s="64"/>
      <c r="K148" s="64"/>
      <c r="L148" s="64"/>
    </row>
    <row r="149" ht="14.25">
      <c r="A149" s="26" t="s">
        <v>236</v>
      </c>
      <c r="B149" s="58" t="s">
        <v>237</v>
      </c>
      <c r="C149" s="62">
        <f>A145/7</f>
        <v>60</v>
      </c>
      <c r="D149" s="22"/>
      <c r="E149" s="22"/>
      <c r="F149" s="22"/>
      <c r="G149" s="22"/>
      <c r="H149" s="22"/>
      <c r="I149" s="22"/>
      <c r="J149" s="64"/>
      <c r="K149" s="64"/>
      <c r="L149" s="64"/>
    </row>
    <row r="150" ht="14.25">
      <c r="A150" s="26" t="s">
        <v>238</v>
      </c>
      <c r="B150" s="58" t="s">
        <v>239</v>
      </c>
      <c r="C150" s="62">
        <f>B145/7</f>
        <v>27.857142857142858</v>
      </c>
      <c r="D150" s="22"/>
      <c r="E150" s="22"/>
      <c r="F150" s="22"/>
      <c r="G150" s="22"/>
      <c r="H150" s="22"/>
      <c r="I150" s="22"/>
      <c r="J150" s="64"/>
      <c r="K150" s="64"/>
      <c r="L150" s="64"/>
    </row>
    <row r="151" ht="14.25">
      <c r="A151" s="26" t="s">
        <v>240</v>
      </c>
      <c r="B151" s="58" t="s">
        <v>241</v>
      </c>
      <c r="C151" s="62">
        <f>SUMPRODUCT((A138:A144-A145/7)^2)</f>
        <v>2800</v>
      </c>
      <c r="D151" s="22"/>
      <c r="E151" s="22"/>
      <c r="F151" s="22"/>
      <c r="G151" s="22"/>
      <c r="H151" s="22"/>
      <c r="I151" s="22"/>
      <c r="J151" s="64"/>
      <c r="K151" s="64"/>
      <c r="L151" s="64"/>
    </row>
    <row r="152" ht="14.25">
      <c r="A152" s="26" t="s">
        <v>292</v>
      </c>
      <c r="B152" s="58" t="s">
        <v>293</v>
      </c>
      <c r="C152" s="62">
        <f>SUMPRODUCT((B138:B144-B145/7)^2)</f>
        <v>2296.8571428571427</v>
      </c>
      <c r="D152" s="22"/>
      <c r="E152" s="22"/>
      <c r="F152" s="22"/>
      <c r="G152" s="22"/>
      <c r="H152" s="22"/>
      <c r="I152" s="22"/>
      <c r="J152" s="64"/>
      <c r="K152" s="64"/>
      <c r="L152" s="64"/>
    </row>
    <row r="153" ht="14.25">
      <c r="A153" s="26" t="s">
        <v>242</v>
      </c>
      <c r="B153" s="58" t="s">
        <v>243</v>
      </c>
      <c r="C153" s="62">
        <f>C145-A145*B145/7</f>
        <v>2490</v>
      </c>
      <c r="D153" s="22"/>
      <c r="E153" s="22"/>
      <c r="F153" s="22"/>
      <c r="G153" s="22"/>
      <c r="H153" s="22"/>
      <c r="I153" s="22"/>
      <c r="J153" s="64"/>
      <c r="K153" s="64"/>
      <c r="L153" s="64"/>
    </row>
    <row r="154" ht="14.25">
      <c r="A154" s="26" t="s">
        <v>294</v>
      </c>
      <c r="B154" s="58" t="s">
        <v>295</v>
      </c>
      <c r="C154" s="62">
        <f>C153/SQRT(C151*C152)</f>
        <v>0.98186852694467353</v>
      </c>
      <c r="D154" s="22"/>
      <c r="E154" s="22"/>
      <c r="F154" s="22"/>
      <c r="G154" s="22"/>
      <c r="H154" s="22"/>
      <c r="I154" s="22"/>
      <c r="J154" s="64"/>
      <c r="K154" s="64"/>
      <c r="L154" s="64"/>
    </row>
    <row r="155" ht="14.25">
      <c r="A155" s="26" t="s">
        <v>296</v>
      </c>
      <c r="B155" s="43"/>
      <c r="C155" s="62">
        <f>CORREL(A138:A144,B138:B144)</f>
        <v>0.98186852694467353</v>
      </c>
      <c r="D155" s="22"/>
      <c r="E155" s="22"/>
      <c r="F155" s="22"/>
      <c r="G155" s="22"/>
      <c r="H155" s="22"/>
      <c r="I155" s="22"/>
      <c r="J155" s="64"/>
      <c r="K155" s="64"/>
      <c r="L155" s="64"/>
    </row>
  </sheetData>
  <mergeCells count="15">
    <mergeCell ref="A1:I1"/>
    <mergeCell ref="A3:L3"/>
    <mergeCell ref="A14:C14"/>
    <mergeCell ref="A22:L22"/>
    <mergeCell ref="A36:C36"/>
    <mergeCell ref="A44:L44"/>
    <mergeCell ref="A55:C55"/>
    <mergeCell ref="A63:L63"/>
    <mergeCell ref="A77:E77"/>
    <mergeCell ref="A88:L88"/>
    <mergeCell ref="A100:E100"/>
    <mergeCell ref="A111:L111"/>
    <mergeCell ref="A125:E125"/>
    <mergeCell ref="A136:L136"/>
    <mergeCell ref="A147:E1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34" t="s">
        <v>305</v>
      </c>
      <c r="B1" s="34"/>
      <c r="C1" s="34"/>
      <c r="D1" s="34"/>
      <c r="E1" s="34"/>
      <c r="F1" s="64"/>
      <c r="G1" s="64"/>
      <c r="H1" s="64"/>
      <c r="I1" s="64"/>
      <c r="J1" s="64"/>
    </row>
    <row r="2">
      <c r="A2" s="22"/>
      <c r="B2" s="22"/>
      <c r="C2" s="22"/>
      <c r="D2" s="22"/>
      <c r="E2" s="22"/>
      <c r="F2" s="64"/>
      <c r="G2" s="64"/>
      <c r="H2" s="64"/>
      <c r="I2" s="64"/>
      <c r="J2" s="64"/>
    </row>
    <row r="3">
      <c r="A3" s="65" t="s">
        <v>306</v>
      </c>
      <c r="B3" s="65"/>
      <c r="C3" s="65"/>
      <c r="D3" s="65"/>
      <c r="E3" s="65"/>
      <c r="F3" s="65"/>
      <c r="G3" s="65"/>
      <c r="H3" s="65"/>
      <c r="I3" s="65"/>
      <c r="J3" s="65"/>
    </row>
    <row r="4">
      <c r="A4" s="66" t="s">
        <v>307</v>
      </c>
      <c r="B4" s="66"/>
      <c r="C4" s="66"/>
      <c r="D4" s="66"/>
      <c r="E4" s="66"/>
      <c r="F4" s="66"/>
      <c r="G4" s="66"/>
      <c r="H4" s="66"/>
      <c r="I4" s="66"/>
      <c r="J4" s="66"/>
    </row>
    <row r="5">
      <c r="A5" s="41"/>
      <c r="B5" s="41"/>
      <c r="C5" s="41"/>
      <c r="D5" s="22"/>
      <c r="E5" s="22"/>
      <c r="F5" s="64"/>
      <c r="G5" s="64"/>
      <c r="H5" s="64"/>
      <c r="I5" s="64"/>
      <c r="J5" s="64"/>
    </row>
    <row r="6">
      <c r="A6" s="67" t="s">
        <v>308</v>
      </c>
      <c r="B6" s="68"/>
      <c r="C6" s="69"/>
      <c r="D6" s="22"/>
      <c r="E6" s="22"/>
      <c r="F6" s="64"/>
      <c r="G6" s="64"/>
      <c r="H6" s="64"/>
      <c r="I6" s="64"/>
      <c r="J6" s="64"/>
    </row>
    <row r="7">
      <c r="A7" s="70" t="s">
        <v>235</v>
      </c>
      <c r="B7" s="70" t="s">
        <v>309</v>
      </c>
      <c r="C7" s="70" t="s">
        <v>62</v>
      </c>
      <c r="D7" s="22"/>
      <c r="E7" s="22"/>
      <c r="F7" s="64"/>
      <c r="G7" s="64"/>
      <c r="H7" s="64"/>
      <c r="I7" s="64"/>
      <c r="J7" s="64"/>
    </row>
    <row r="8">
      <c r="A8" s="26" t="s">
        <v>310</v>
      </c>
      <c r="B8" s="26" t="s">
        <v>311</v>
      </c>
      <c r="C8" s="26">
        <v>500</v>
      </c>
      <c r="D8" s="22"/>
      <c r="E8" s="22"/>
      <c r="F8" s="64"/>
      <c r="G8" s="64"/>
      <c r="H8" s="64"/>
      <c r="I8" s="64"/>
      <c r="J8" s="64"/>
    </row>
    <row r="9">
      <c r="A9" s="26" t="s">
        <v>312</v>
      </c>
      <c r="B9" s="26" t="s">
        <v>313</v>
      </c>
      <c r="C9" s="26">
        <v>15</v>
      </c>
      <c r="D9" s="22"/>
      <c r="E9" s="22"/>
      <c r="F9" s="64"/>
      <c r="G9" s="64"/>
      <c r="H9" s="64"/>
      <c r="I9" s="64"/>
      <c r="J9" s="64"/>
    </row>
    <row r="10">
      <c r="A10" s="26" t="s">
        <v>314</v>
      </c>
      <c r="B10" s="26" t="s">
        <v>315</v>
      </c>
      <c r="C10" s="26">
        <v>40</v>
      </c>
      <c r="D10" s="22"/>
      <c r="E10" s="22"/>
      <c r="F10" s="64"/>
      <c r="G10" s="64"/>
      <c r="H10" s="64"/>
      <c r="I10" s="64"/>
      <c r="J10" s="64"/>
    </row>
    <row r="11">
      <c r="A11" s="26" t="s">
        <v>316</v>
      </c>
      <c r="B11" s="26" t="s">
        <v>317</v>
      </c>
      <c r="C11" s="62">
        <f>15/SQRT(40)</f>
        <v>2.3717082451262845</v>
      </c>
      <c r="D11" s="22"/>
      <c r="E11" s="22"/>
      <c r="F11" s="64"/>
      <c r="G11" s="64"/>
      <c r="H11" s="64"/>
      <c r="I11" s="64"/>
      <c r="J11" s="64"/>
    </row>
    <row r="12">
      <c r="A12" s="50"/>
      <c r="B12" s="50"/>
      <c r="C12" s="50"/>
      <c r="D12" s="22"/>
      <c r="E12" s="22"/>
      <c r="F12" s="64"/>
      <c r="G12" s="64"/>
      <c r="H12" s="64"/>
      <c r="I12" s="64"/>
      <c r="J12" s="64"/>
    </row>
    <row r="13">
      <c r="A13" s="71" t="s">
        <v>318</v>
      </c>
      <c r="B13" s="72"/>
      <c r="C13" s="73"/>
      <c r="D13" s="22"/>
      <c r="E13" s="22"/>
      <c r="F13" s="64"/>
      <c r="G13" s="64"/>
      <c r="H13" s="64"/>
      <c r="I13" s="64"/>
      <c r="J13" s="64"/>
    </row>
    <row r="14">
      <c r="A14" s="70" t="s">
        <v>319</v>
      </c>
      <c r="B14" s="70" t="s">
        <v>320</v>
      </c>
      <c r="C14" s="70" t="s">
        <v>62</v>
      </c>
      <c r="D14" s="22"/>
      <c r="E14" s="22"/>
      <c r="F14" s="64"/>
      <c r="G14" s="64"/>
      <c r="H14" s="64"/>
      <c r="I14" s="64"/>
      <c r="J14" s="64"/>
    </row>
    <row r="15">
      <c r="A15" s="26" t="s">
        <v>321</v>
      </c>
      <c r="B15" s="26" t="s">
        <v>322</v>
      </c>
      <c r="C15" s="26">
        <v>504</v>
      </c>
      <c r="D15" s="22"/>
      <c r="E15" s="22"/>
      <c r="F15" s="64"/>
      <c r="G15" s="64"/>
      <c r="H15" s="64"/>
      <c r="I15" s="64"/>
      <c r="J15" s="64"/>
    </row>
    <row r="16">
      <c r="A16" s="26" t="s">
        <v>323</v>
      </c>
      <c r="B16" s="26" t="s">
        <v>324</v>
      </c>
      <c r="C16" s="62">
        <f>(C15-C8)/C11</f>
        <v>1.6865480854231356</v>
      </c>
      <c r="D16" s="22"/>
      <c r="E16" s="22"/>
      <c r="F16" s="64"/>
      <c r="G16" s="64"/>
      <c r="H16" s="64"/>
      <c r="I16" s="64"/>
      <c r="J16" s="64"/>
    </row>
    <row r="17">
      <c r="A17" s="26" t="s">
        <v>325</v>
      </c>
      <c r="B17" s="26" t="s">
        <v>326</v>
      </c>
      <c r="C17" s="62">
        <f>1-NORMDIST(C15,C8,C11,TRUE())</f>
        <v>4.5845140774714577e-02</v>
      </c>
      <c r="D17" s="22"/>
      <c r="E17" s="22"/>
      <c r="F17" s="64"/>
      <c r="G17" s="64"/>
      <c r="H17" s="64"/>
      <c r="I17" s="64"/>
      <c r="J17" s="64"/>
    </row>
    <row r="18">
      <c r="A18" s="50"/>
      <c r="B18" s="50"/>
      <c r="C18" s="50"/>
      <c r="D18" s="22"/>
      <c r="E18" s="22"/>
      <c r="F18" s="64"/>
      <c r="G18" s="64"/>
      <c r="H18" s="64"/>
      <c r="I18" s="64"/>
      <c r="J18" s="64"/>
    </row>
    <row r="19">
      <c r="A19" s="71" t="s">
        <v>327</v>
      </c>
      <c r="B19" s="72"/>
      <c r="C19" s="73"/>
      <c r="D19" s="22"/>
      <c r="E19" s="22"/>
      <c r="F19" s="64"/>
      <c r="G19" s="64"/>
      <c r="H19" s="64"/>
      <c r="I19" s="64"/>
      <c r="J19" s="64"/>
    </row>
    <row r="20">
      <c r="A20" s="70" t="s">
        <v>319</v>
      </c>
      <c r="B20" s="70" t="s">
        <v>320</v>
      </c>
      <c r="C20" s="70" t="s">
        <v>62</v>
      </c>
      <c r="D20" s="22"/>
      <c r="E20" s="22"/>
      <c r="F20" s="64"/>
      <c r="G20" s="64"/>
      <c r="H20" s="64"/>
      <c r="I20" s="64"/>
      <c r="J20" s="64"/>
    </row>
    <row r="21">
      <c r="A21" s="26" t="s">
        <v>328</v>
      </c>
      <c r="B21" s="26" t="s">
        <v>329</v>
      </c>
      <c r="C21" s="74">
        <v>5.0000000000000003e-02</v>
      </c>
      <c r="D21" s="22"/>
      <c r="E21" s="22"/>
      <c r="F21" s="64"/>
      <c r="G21" s="64"/>
      <c r="H21" s="64"/>
      <c r="I21" s="64"/>
      <c r="J21" s="64"/>
    </row>
    <row r="22">
      <c r="A22" s="26" t="s">
        <v>330</v>
      </c>
      <c r="B22" s="26" t="s">
        <v>331</v>
      </c>
      <c r="C22" s="62">
        <f>NORMSINV(C21)</f>
        <v>-1.6448536269514726</v>
      </c>
      <c r="D22" s="22"/>
      <c r="E22" s="22"/>
      <c r="F22" s="64"/>
      <c r="G22" s="64"/>
      <c r="H22" s="64"/>
      <c r="I22" s="64"/>
      <c r="J22" s="64"/>
    </row>
    <row r="23">
      <c r="A23" s="26" t="s">
        <v>332</v>
      </c>
      <c r="B23" s="26" t="s">
        <v>333</v>
      </c>
      <c r="C23" s="62">
        <f>NORMINV(C21,C8,C11)</f>
        <v>496.09888709093332</v>
      </c>
      <c r="D23" s="22"/>
      <c r="E23" s="22"/>
      <c r="F23" s="64"/>
      <c r="G23" s="64"/>
      <c r="H23" s="64"/>
      <c r="I23" s="64"/>
      <c r="J23" s="64"/>
    </row>
    <row r="24">
      <c r="A24" s="22"/>
      <c r="B24" s="22"/>
      <c r="C24" s="22"/>
      <c r="D24" s="22"/>
      <c r="E24" s="22"/>
      <c r="F24" s="64"/>
      <c r="G24" s="64"/>
      <c r="H24" s="64"/>
      <c r="I24" s="64"/>
      <c r="J24" s="64"/>
    </row>
    <row r="25">
      <c r="A25" s="65" t="s">
        <v>334</v>
      </c>
      <c r="B25" s="65"/>
      <c r="C25" s="65"/>
      <c r="D25" s="65"/>
      <c r="E25" s="65"/>
      <c r="F25" s="65"/>
      <c r="G25" s="65"/>
      <c r="H25" s="65"/>
      <c r="I25" s="65"/>
      <c r="J25" s="65"/>
    </row>
    <row r="26">
      <c r="A26" s="66" t="s">
        <v>335</v>
      </c>
      <c r="B26" s="66"/>
      <c r="C26" s="66"/>
      <c r="D26" s="66"/>
      <c r="E26" s="66"/>
      <c r="F26" s="66"/>
      <c r="G26" s="66"/>
      <c r="H26" s="66"/>
      <c r="I26" s="66"/>
      <c r="J26" s="66"/>
    </row>
    <row r="27">
      <c r="A27" s="41"/>
      <c r="B27" s="41"/>
      <c r="C27" s="41"/>
      <c r="D27" s="22"/>
      <c r="E27" s="22"/>
      <c r="F27" s="64"/>
      <c r="G27" s="64"/>
      <c r="H27" s="64"/>
      <c r="I27" s="64"/>
      <c r="J27" s="64"/>
    </row>
    <row r="28">
      <c r="A28" s="67" t="s">
        <v>308</v>
      </c>
      <c r="B28" s="68"/>
      <c r="C28" s="69"/>
      <c r="D28" s="22"/>
      <c r="E28" s="22"/>
      <c r="F28" s="64"/>
      <c r="G28" s="64"/>
      <c r="H28" s="64"/>
      <c r="I28" s="64"/>
      <c r="J28" s="64"/>
    </row>
    <row r="29">
      <c r="A29" s="70" t="s">
        <v>235</v>
      </c>
      <c r="B29" s="70" t="s">
        <v>309</v>
      </c>
      <c r="C29" s="70" t="s">
        <v>62</v>
      </c>
      <c r="D29" s="22"/>
      <c r="E29" s="22"/>
      <c r="F29" s="64"/>
      <c r="G29" s="64"/>
      <c r="H29" s="64"/>
      <c r="I29" s="64"/>
      <c r="J29" s="64"/>
    </row>
    <row r="30">
      <c r="A30" s="26" t="s">
        <v>310</v>
      </c>
      <c r="B30" s="26" t="s">
        <v>311</v>
      </c>
      <c r="C30" s="26">
        <v>72</v>
      </c>
      <c r="D30" s="22"/>
      <c r="E30" s="22"/>
      <c r="F30" s="64"/>
      <c r="G30" s="64"/>
      <c r="H30" s="64"/>
      <c r="I30" s="64"/>
      <c r="J30" s="64"/>
    </row>
    <row r="31">
      <c r="A31" s="26" t="s">
        <v>336</v>
      </c>
      <c r="B31" s="26" t="s">
        <v>315</v>
      </c>
      <c r="C31" s="26">
        <v>15</v>
      </c>
      <c r="D31" s="22"/>
      <c r="E31" s="22"/>
      <c r="F31" s="64"/>
      <c r="G31" s="64"/>
      <c r="H31" s="64"/>
      <c r="I31" s="64"/>
      <c r="J31" s="64"/>
    </row>
    <row r="32">
      <c r="A32" s="26" t="s">
        <v>312</v>
      </c>
      <c r="B32" s="26" t="s">
        <v>313</v>
      </c>
      <c r="C32" s="26">
        <v>3.5</v>
      </c>
      <c r="D32" s="22"/>
      <c r="E32" s="22"/>
      <c r="F32" s="64"/>
      <c r="G32" s="64"/>
      <c r="H32" s="64"/>
      <c r="I32" s="64"/>
      <c r="J32" s="64"/>
    </row>
    <row r="33">
      <c r="A33" s="26" t="s">
        <v>337</v>
      </c>
      <c r="B33" s="26" t="s">
        <v>338</v>
      </c>
      <c r="C33" s="62">
        <f>C31*C30</f>
        <v>1080</v>
      </c>
      <c r="D33" s="22"/>
      <c r="E33" s="22"/>
      <c r="F33" s="64"/>
      <c r="G33" s="64"/>
      <c r="H33" s="64"/>
      <c r="I33" s="64"/>
      <c r="J33" s="64"/>
    </row>
    <row r="34">
      <c r="A34" s="26" t="s">
        <v>339</v>
      </c>
      <c r="B34" s="26" t="s">
        <v>340</v>
      </c>
      <c r="C34" s="62">
        <f>C31*C32^2</f>
        <v>183.75</v>
      </c>
      <c r="D34" s="22"/>
      <c r="E34" s="22"/>
      <c r="F34" s="64"/>
      <c r="G34" s="64"/>
      <c r="H34" s="64"/>
      <c r="I34" s="64"/>
      <c r="J34" s="64"/>
    </row>
    <row r="35">
      <c r="A35" s="26" t="s">
        <v>341</v>
      </c>
      <c r="B35" s="26" t="s">
        <v>342</v>
      </c>
      <c r="C35" s="62">
        <f>SQRT(C34)</f>
        <v>13.555441711725958</v>
      </c>
      <c r="D35" s="22"/>
      <c r="E35" s="22"/>
      <c r="F35" s="64"/>
      <c r="G35" s="64"/>
      <c r="H35" s="64"/>
      <c r="I35" s="64"/>
      <c r="J35" s="64"/>
    </row>
    <row r="36">
      <c r="A36" s="50"/>
      <c r="B36" s="50"/>
      <c r="C36" s="50"/>
      <c r="D36" s="22"/>
      <c r="E36" s="22"/>
      <c r="F36" s="64"/>
      <c r="G36" s="64"/>
      <c r="H36" s="64"/>
      <c r="I36" s="64"/>
      <c r="J36" s="64"/>
    </row>
    <row r="37">
      <c r="A37" s="71" t="s">
        <v>343</v>
      </c>
      <c r="B37" s="72"/>
      <c r="C37" s="73"/>
      <c r="D37" s="22"/>
      <c r="E37" s="22"/>
      <c r="F37" s="64"/>
      <c r="G37" s="64"/>
      <c r="H37" s="64"/>
      <c r="I37" s="64"/>
      <c r="J37" s="64"/>
    </row>
    <row r="38">
      <c r="A38" s="70" t="s">
        <v>319</v>
      </c>
      <c r="B38" s="70" t="s">
        <v>320</v>
      </c>
      <c r="C38" s="70" t="s">
        <v>62</v>
      </c>
      <c r="D38" s="22"/>
      <c r="E38" s="22"/>
      <c r="F38" s="64"/>
      <c r="G38" s="64"/>
      <c r="H38" s="64"/>
      <c r="I38" s="64"/>
      <c r="J38" s="64"/>
    </row>
    <row r="39">
      <c r="A39" s="26" t="s">
        <v>344</v>
      </c>
      <c r="B39" s="26" t="s">
        <v>345</v>
      </c>
      <c r="C39" s="26">
        <v>1065</v>
      </c>
      <c r="D39" s="22"/>
      <c r="E39" s="22"/>
      <c r="F39" s="64"/>
      <c r="G39" s="64"/>
      <c r="H39" s="64"/>
      <c r="I39" s="64"/>
      <c r="J39" s="64"/>
    </row>
    <row r="40">
      <c r="A40" s="26" t="s">
        <v>346</v>
      </c>
      <c r="B40" s="26" t="s">
        <v>347</v>
      </c>
      <c r="C40" s="26">
        <v>1090</v>
      </c>
      <c r="D40" s="22"/>
      <c r="E40" s="22"/>
      <c r="F40" s="64"/>
      <c r="G40" s="64"/>
      <c r="H40" s="64"/>
      <c r="I40" s="64"/>
      <c r="J40" s="64"/>
    </row>
    <row r="41">
      <c r="A41" s="26" t="s">
        <v>348</v>
      </c>
      <c r="B41" s="26" t="s">
        <v>349</v>
      </c>
      <c r="C41" s="62">
        <f>(C39-C33)/C35</f>
        <v>-1.1065666703449764</v>
      </c>
      <c r="D41" s="22"/>
      <c r="E41" s="22"/>
      <c r="F41" s="64"/>
      <c r="G41" s="64"/>
      <c r="H41" s="64"/>
      <c r="I41" s="64"/>
      <c r="J41" s="64"/>
    </row>
    <row r="42">
      <c r="A42" s="26" t="s">
        <v>350</v>
      </c>
      <c r="B42" s="26" t="s">
        <v>351</v>
      </c>
      <c r="C42" s="62">
        <f>(C40-C33)/C35</f>
        <v>0.73771111356331753</v>
      </c>
      <c r="D42" s="22"/>
      <c r="E42" s="22"/>
      <c r="F42" s="64"/>
      <c r="G42" s="64"/>
      <c r="H42" s="64"/>
      <c r="I42" s="64"/>
      <c r="J42" s="64"/>
    </row>
    <row r="43">
      <c r="A43" s="26" t="s">
        <v>352</v>
      </c>
      <c r="B43" s="26" t="s">
        <v>353</v>
      </c>
      <c r="C43" s="62">
        <f>NORMDIST(C40,C33,C35,TRUE())-NORMDIST(C39,C33,C35,TRUE())</f>
        <v>0.63541432934972186</v>
      </c>
      <c r="D43" s="22"/>
      <c r="E43" s="22"/>
      <c r="F43" s="64"/>
      <c r="G43" s="64"/>
      <c r="H43" s="64"/>
      <c r="I43" s="64"/>
      <c r="J43" s="64"/>
    </row>
    <row r="44">
      <c r="A44" s="22"/>
      <c r="B44" s="22"/>
      <c r="C44" s="22"/>
      <c r="D44" s="22"/>
      <c r="E44" s="22"/>
      <c r="F44" s="64"/>
      <c r="G44" s="64"/>
      <c r="H44" s="64"/>
      <c r="I44" s="64"/>
      <c r="J44" s="64"/>
    </row>
    <row r="45">
      <c r="A45" s="65" t="s">
        <v>354</v>
      </c>
      <c r="B45" s="65"/>
      <c r="C45" s="65"/>
      <c r="D45" s="65"/>
      <c r="E45" s="65"/>
      <c r="F45" s="65"/>
      <c r="G45" s="65"/>
      <c r="H45" s="65"/>
      <c r="I45" s="65"/>
      <c r="J45" s="65"/>
    </row>
    <row r="46">
      <c r="A46" s="66" t="s">
        <v>355</v>
      </c>
      <c r="B46" s="66"/>
      <c r="C46" s="66"/>
      <c r="D46" s="66"/>
      <c r="E46" s="66"/>
      <c r="F46" s="66"/>
      <c r="G46" s="66"/>
      <c r="H46" s="66"/>
      <c r="I46" s="66"/>
      <c r="J46" s="66"/>
    </row>
    <row r="47">
      <c r="A47" s="41"/>
      <c r="B47" s="41"/>
      <c r="C47" s="41"/>
      <c r="D47" s="22"/>
      <c r="E47" s="22"/>
      <c r="F47" s="64"/>
      <c r="G47" s="64"/>
      <c r="H47" s="64"/>
      <c r="I47" s="64"/>
      <c r="J47" s="64"/>
    </row>
    <row r="48">
      <c r="A48" s="67" t="s">
        <v>308</v>
      </c>
      <c r="B48" s="68"/>
      <c r="C48" s="69"/>
      <c r="D48" s="22"/>
      <c r="E48" s="22"/>
      <c r="F48" s="64"/>
      <c r="G48" s="64"/>
      <c r="H48" s="64"/>
      <c r="I48" s="64"/>
      <c r="J48" s="64"/>
    </row>
    <row r="49">
      <c r="A49" s="70" t="s">
        <v>235</v>
      </c>
      <c r="B49" s="70" t="s">
        <v>309</v>
      </c>
      <c r="C49" s="70" t="s">
        <v>62</v>
      </c>
      <c r="D49" s="22"/>
      <c r="E49" s="22"/>
      <c r="F49" s="64"/>
      <c r="G49" s="64"/>
      <c r="H49" s="64"/>
      <c r="I49" s="64"/>
      <c r="J49" s="64"/>
    </row>
    <row r="50">
      <c r="A50" s="26" t="s">
        <v>310</v>
      </c>
      <c r="B50" s="26" t="s">
        <v>311</v>
      </c>
      <c r="C50" s="26">
        <v>35</v>
      </c>
      <c r="D50" s="22"/>
      <c r="E50" s="22"/>
      <c r="F50" s="64"/>
      <c r="G50" s="64"/>
      <c r="H50" s="64"/>
      <c r="I50" s="64"/>
      <c r="J50" s="64"/>
    </row>
    <row r="51">
      <c r="A51" s="26" t="s">
        <v>312</v>
      </c>
      <c r="B51" s="26" t="s">
        <v>313</v>
      </c>
      <c r="C51" s="26">
        <v>8</v>
      </c>
      <c r="D51" s="22"/>
      <c r="E51" s="22"/>
      <c r="F51" s="64"/>
      <c r="G51" s="64"/>
      <c r="H51" s="64"/>
      <c r="I51" s="64"/>
      <c r="J51" s="64"/>
    </row>
    <row r="52">
      <c r="A52" s="26" t="s">
        <v>314</v>
      </c>
      <c r="B52" s="26" t="s">
        <v>315</v>
      </c>
      <c r="C52" s="26">
        <v>25</v>
      </c>
      <c r="D52" s="22"/>
      <c r="E52" s="22"/>
      <c r="F52" s="64"/>
      <c r="G52" s="64"/>
      <c r="H52" s="64"/>
      <c r="I52" s="64"/>
      <c r="J52" s="64"/>
    </row>
    <row r="53">
      <c r="A53" s="26" t="s">
        <v>356</v>
      </c>
      <c r="B53" s="26" t="s">
        <v>357</v>
      </c>
      <c r="C53" s="62">
        <f>C50</f>
        <v>35</v>
      </c>
      <c r="D53" s="22"/>
      <c r="E53" s="22"/>
      <c r="F53" s="64"/>
      <c r="G53" s="64"/>
      <c r="H53" s="64"/>
      <c r="I53" s="64"/>
      <c r="J53" s="64"/>
    </row>
    <row r="54">
      <c r="A54" s="26" t="s">
        <v>358</v>
      </c>
      <c r="B54" s="26" t="s">
        <v>317</v>
      </c>
      <c r="C54" s="62">
        <f>C51/SQRT(C52)</f>
        <v>1.6000000000000001</v>
      </c>
      <c r="D54" s="22"/>
      <c r="E54" s="22"/>
      <c r="F54" s="64"/>
      <c r="G54" s="64"/>
      <c r="H54" s="64"/>
      <c r="I54" s="64"/>
      <c r="J54" s="64"/>
    </row>
    <row r="55">
      <c r="A55" s="50"/>
      <c r="B55" s="50"/>
      <c r="C55" s="50"/>
      <c r="D55" s="22"/>
      <c r="E55" s="22"/>
      <c r="F55" s="64"/>
      <c r="G55" s="64"/>
      <c r="H55" s="64"/>
      <c r="I55" s="64"/>
      <c r="J55" s="64"/>
    </row>
    <row r="56">
      <c r="A56" s="71" t="s">
        <v>359</v>
      </c>
      <c r="B56" s="72"/>
      <c r="C56" s="73"/>
      <c r="D56" s="22"/>
      <c r="E56" s="22"/>
      <c r="F56" s="64"/>
      <c r="G56" s="64"/>
      <c r="H56" s="64"/>
      <c r="I56" s="64"/>
      <c r="J56" s="64"/>
    </row>
    <row r="57">
      <c r="A57" s="70" t="s">
        <v>325</v>
      </c>
      <c r="B57" s="70" t="s">
        <v>141</v>
      </c>
      <c r="C57" s="70" t="s">
        <v>62</v>
      </c>
      <c r="D57" s="22"/>
      <c r="E57" s="22"/>
      <c r="F57" s="64"/>
      <c r="G57" s="64"/>
      <c r="H57" s="64"/>
      <c r="I57" s="64"/>
      <c r="J57" s="64"/>
    </row>
    <row r="58">
      <c r="A58" s="26" t="s">
        <v>360</v>
      </c>
      <c r="B58" s="58" t="s">
        <v>361</v>
      </c>
      <c r="C58" s="62">
        <f>NORMDIST(33,C53,C54,TRUE())</f>
        <v>0.1056497736668553</v>
      </c>
      <c r="D58" s="22"/>
      <c r="E58" s="22"/>
      <c r="F58" s="64"/>
      <c r="G58" s="64"/>
      <c r="H58" s="64"/>
      <c r="I58" s="64"/>
      <c r="J58" s="64"/>
    </row>
    <row r="59">
      <c r="A59" s="26" t="s">
        <v>362</v>
      </c>
      <c r="B59" s="58" t="s">
        <v>361</v>
      </c>
      <c r="C59" s="62">
        <f>1-NORMDIST(33,C53,C54,TRUE())</f>
        <v>0.89435022633314465</v>
      </c>
      <c r="D59" s="22"/>
      <c r="E59" s="22"/>
      <c r="F59" s="64"/>
      <c r="G59" s="64"/>
      <c r="H59" s="64"/>
      <c r="I59" s="64"/>
      <c r="J59" s="64"/>
    </row>
    <row r="60">
      <c r="A60" s="22"/>
      <c r="B60" s="22"/>
      <c r="C60" s="22"/>
      <c r="D60" s="22"/>
      <c r="E60" s="22"/>
      <c r="F60" s="64"/>
      <c r="G60" s="64"/>
      <c r="H60" s="64"/>
      <c r="I60" s="64"/>
      <c r="J60" s="64"/>
    </row>
    <row r="61">
      <c r="A61" s="22"/>
      <c r="B61" s="22"/>
      <c r="C61" s="22"/>
      <c r="D61" s="22"/>
      <c r="E61" s="22"/>
      <c r="F61" s="64"/>
      <c r="G61" s="64"/>
      <c r="H61" s="64"/>
      <c r="I61" s="64"/>
      <c r="J61" s="64"/>
    </row>
    <row r="62">
      <c r="A62" s="65" t="s">
        <v>363</v>
      </c>
      <c r="B62" s="65"/>
      <c r="C62" s="65"/>
      <c r="D62" s="65"/>
      <c r="E62" s="65"/>
      <c r="F62" s="65"/>
      <c r="G62" s="65"/>
      <c r="H62" s="65"/>
      <c r="I62" s="65"/>
      <c r="J62" s="65"/>
    </row>
    <row r="63">
      <c r="A63" s="66" t="s">
        <v>364</v>
      </c>
      <c r="B63" s="66"/>
      <c r="C63" s="66"/>
      <c r="D63" s="66"/>
      <c r="E63" s="66"/>
      <c r="F63" s="66"/>
      <c r="G63" s="66"/>
      <c r="H63" s="66"/>
      <c r="I63" s="66"/>
      <c r="J63" s="66"/>
    </row>
    <row r="64">
      <c r="A64" s="41"/>
      <c r="B64" s="41"/>
      <c r="C64" s="41"/>
      <c r="D64" s="22"/>
      <c r="E64" s="22"/>
      <c r="F64" s="64"/>
      <c r="G64" s="64"/>
      <c r="H64" s="64"/>
      <c r="I64" s="64"/>
      <c r="J64" s="64"/>
    </row>
    <row r="65">
      <c r="A65" s="67" t="s">
        <v>308</v>
      </c>
      <c r="B65" s="68"/>
      <c r="C65" s="69"/>
      <c r="D65" s="22"/>
      <c r="E65" s="22"/>
      <c r="F65" s="64"/>
      <c r="G65" s="64"/>
      <c r="H65" s="64"/>
      <c r="I65" s="64"/>
      <c r="J65" s="64"/>
    </row>
    <row r="66">
      <c r="A66" s="70" t="s">
        <v>235</v>
      </c>
      <c r="B66" s="70" t="s">
        <v>309</v>
      </c>
      <c r="C66" s="70" t="s">
        <v>62</v>
      </c>
      <c r="D66" s="22"/>
      <c r="E66" s="22"/>
      <c r="F66" s="64"/>
      <c r="G66" s="64"/>
      <c r="H66" s="64"/>
      <c r="I66" s="64"/>
      <c r="J66" s="64"/>
    </row>
    <row r="67">
      <c r="A67" s="26" t="s">
        <v>310</v>
      </c>
      <c r="B67" s="26" t="s">
        <v>311</v>
      </c>
      <c r="C67" s="26">
        <v>170</v>
      </c>
      <c r="D67" s="22"/>
      <c r="E67" s="22"/>
      <c r="F67" s="64"/>
      <c r="G67" s="64"/>
      <c r="H67" s="64"/>
      <c r="I67" s="64"/>
      <c r="J67" s="64"/>
    </row>
    <row r="68">
      <c r="A68" s="26" t="s">
        <v>312</v>
      </c>
      <c r="B68" s="26" t="s">
        <v>313</v>
      </c>
      <c r="C68" s="26">
        <v>6</v>
      </c>
      <c r="D68" s="22"/>
      <c r="E68" s="22"/>
      <c r="F68" s="64"/>
      <c r="G68" s="64"/>
      <c r="H68" s="64"/>
      <c r="I68" s="64"/>
      <c r="J68" s="64"/>
    </row>
    <row r="69">
      <c r="A69" s="26" t="s">
        <v>314</v>
      </c>
      <c r="B69" s="26" t="s">
        <v>315</v>
      </c>
      <c r="C69" s="26">
        <v>45</v>
      </c>
      <c r="D69" s="22"/>
      <c r="E69" s="22"/>
      <c r="F69" s="64"/>
      <c r="G69" s="64"/>
      <c r="H69" s="64"/>
      <c r="I69" s="64"/>
      <c r="J69" s="64"/>
    </row>
    <row r="70">
      <c r="A70" s="26" t="s">
        <v>356</v>
      </c>
      <c r="B70" s="26" t="s">
        <v>357</v>
      </c>
      <c r="C70" s="62">
        <f>C67</f>
        <v>170</v>
      </c>
      <c r="D70" s="22"/>
      <c r="E70" s="22"/>
      <c r="F70" s="64"/>
      <c r="G70" s="64"/>
      <c r="H70" s="64"/>
      <c r="I70" s="64"/>
      <c r="J70" s="64"/>
    </row>
    <row r="71">
      <c r="A71" s="26" t="s">
        <v>358</v>
      </c>
      <c r="B71" s="26" t="s">
        <v>317</v>
      </c>
      <c r="C71" s="62">
        <f>C68/SQRT(C69)</f>
        <v>0.89442719099991586</v>
      </c>
      <c r="D71" s="22"/>
      <c r="E71" s="22"/>
      <c r="F71" s="64"/>
      <c r="G71" s="64"/>
      <c r="H71" s="64"/>
      <c r="I71" s="64"/>
      <c r="J71" s="64"/>
    </row>
    <row r="72">
      <c r="A72" s="50"/>
      <c r="B72" s="50"/>
      <c r="C72" s="50"/>
      <c r="D72" s="22"/>
      <c r="E72" s="22"/>
      <c r="F72" s="64"/>
      <c r="G72" s="64"/>
      <c r="H72" s="64"/>
      <c r="I72" s="64"/>
      <c r="J72" s="64"/>
    </row>
    <row r="73">
      <c r="A73" s="71" t="s">
        <v>359</v>
      </c>
      <c r="B73" s="72"/>
      <c r="C73" s="73"/>
      <c r="D73" s="22"/>
      <c r="E73" s="22"/>
      <c r="F73" s="64"/>
      <c r="G73" s="64"/>
      <c r="H73" s="64"/>
      <c r="I73" s="64"/>
      <c r="J73" s="64"/>
    </row>
    <row r="74">
      <c r="A74" s="70" t="s">
        <v>325</v>
      </c>
      <c r="B74" s="70" t="s">
        <v>141</v>
      </c>
      <c r="C74" s="70" t="s">
        <v>62</v>
      </c>
      <c r="D74" s="22"/>
      <c r="E74" s="22"/>
      <c r="F74" s="64"/>
      <c r="G74" s="64"/>
      <c r="H74" s="64"/>
      <c r="I74" s="64"/>
      <c r="J74" s="64"/>
    </row>
    <row r="75">
      <c r="A75" s="26" t="s">
        <v>365</v>
      </c>
      <c r="B75" s="58" t="s">
        <v>361</v>
      </c>
      <c r="C75" s="62">
        <f>NORMDIST(171.5,C70,C71,TRUE())-NORMDIST(168.5,C70,C71,TRUE())</f>
        <v>0.90646748731090687</v>
      </c>
      <c r="D75" s="22"/>
      <c r="E75" s="22"/>
      <c r="F75" s="64"/>
      <c r="G75" s="64"/>
      <c r="H75" s="64"/>
      <c r="I75" s="64"/>
      <c r="J75" s="64"/>
    </row>
    <row r="76">
      <c r="A76" s="22"/>
      <c r="B76" s="22"/>
      <c r="C76" s="22"/>
      <c r="D76" s="22"/>
      <c r="E76" s="22"/>
      <c r="F76" s="64"/>
      <c r="G76" s="64"/>
      <c r="H76" s="64"/>
      <c r="I76" s="64"/>
      <c r="J76" s="64"/>
    </row>
    <row r="77">
      <c r="A77" s="22"/>
      <c r="B77" s="22"/>
      <c r="C77" s="22"/>
      <c r="D77" s="22"/>
      <c r="E77" s="22"/>
      <c r="F77" s="64"/>
      <c r="G77" s="64"/>
      <c r="H77" s="64"/>
      <c r="I77" s="64"/>
      <c r="J77" s="64"/>
    </row>
    <row r="78">
      <c r="A78" s="65" t="s">
        <v>366</v>
      </c>
      <c r="B78" s="65"/>
      <c r="C78" s="65"/>
      <c r="D78" s="65"/>
      <c r="E78" s="65"/>
      <c r="F78" s="65"/>
      <c r="G78" s="65"/>
      <c r="H78" s="65"/>
      <c r="I78" s="65"/>
      <c r="J78" s="65"/>
    </row>
    <row r="79">
      <c r="A79" s="66" t="s">
        <v>367</v>
      </c>
      <c r="B79" s="66"/>
      <c r="C79" s="66"/>
      <c r="D79" s="66"/>
      <c r="E79" s="66"/>
      <c r="F79" s="66"/>
      <c r="G79" s="66"/>
      <c r="H79" s="66"/>
      <c r="I79" s="66"/>
      <c r="J79" s="66"/>
    </row>
    <row r="80">
      <c r="A80" s="41"/>
      <c r="B80" s="41"/>
      <c r="C80" s="41"/>
      <c r="D80" s="22"/>
      <c r="E80" s="22"/>
      <c r="F80" s="64"/>
      <c r="G80" s="64"/>
      <c r="H80" s="64"/>
      <c r="I80" s="64"/>
      <c r="J80" s="64"/>
    </row>
    <row r="81">
      <c r="A81" s="67" t="s">
        <v>308</v>
      </c>
      <c r="B81" s="68"/>
      <c r="C81" s="69"/>
      <c r="D81" s="22"/>
      <c r="E81" s="22"/>
      <c r="F81" s="64"/>
      <c r="G81" s="64"/>
      <c r="H81" s="64"/>
      <c r="I81" s="64"/>
      <c r="J81" s="64"/>
    </row>
    <row r="82">
      <c r="A82" s="70" t="s">
        <v>235</v>
      </c>
      <c r="B82" s="70" t="s">
        <v>309</v>
      </c>
      <c r="C82" s="70" t="s">
        <v>62</v>
      </c>
      <c r="D82" s="22"/>
      <c r="E82" s="22"/>
      <c r="F82" s="64"/>
      <c r="G82" s="64"/>
      <c r="H82" s="64"/>
      <c r="I82" s="64"/>
      <c r="J82" s="64"/>
    </row>
    <row r="83">
      <c r="A83" s="26" t="s">
        <v>310</v>
      </c>
      <c r="B83" s="26" t="s">
        <v>311</v>
      </c>
      <c r="C83" s="26">
        <v>65</v>
      </c>
      <c r="D83" s="22"/>
      <c r="E83" s="22"/>
      <c r="F83" s="64"/>
      <c r="G83" s="64"/>
      <c r="H83" s="64"/>
      <c r="I83" s="64"/>
      <c r="J83" s="64"/>
    </row>
    <row r="84">
      <c r="A84" s="26" t="s">
        <v>312</v>
      </c>
      <c r="B84" s="26" t="s">
        <v>313</v>
      </c>
      <c r="C84" s="26">
        <v>12</v>
      </c>
      <c r="D84" s="22"/>
      <c r="E84" s="22"/>
      <c r="F84" s="64"/>
      <c r="G84" s="64"/>
      <c r="H84" s="64"/>
      <c r="I84" s="64"/>
      <c r="J84" s="64"/>
    </row>
    <row r="85">
      <c r="A85" s="26" t="s">
        <v>314</v>
      </c>
      <c r="B85" s="26" t="s">
        <v>315</v>
      </c>
      <c r="C85" s="26">
        <v>64</v>
      </c>
      <c r="D85" s="22"/>
      <c r="E85" s="22"/>
      <c r="F85" s="64"/>
      <c r="G85" s="64"/>
      <c r="H85" s="64"/>
      <c r="I85" s="64"/>
      <c r="J85" s="64"/>
    </row>
    <row r="86">
      <c r="A86" s="26" t="s">
        <v>356</v>
      </c>
      <c r="B86" s="26" t="s">
        <v>357</v>
      </c>
      <c r="C86" s="62">
        <f>C83</f>
        <v>65</v>
      </c>
      <c r="D86" s="22"/>
      <c r="E86" s="22"/>
      <c r="F86" s="64"/>
      <c r="G86" s="64"/>
      <c r="H86" s="64"/>
      <c r="I86" s="64"/>
      <c r="J86" s="64"/>
    </row>
    <row r="87">
      <c r="A87" s="26" t="s">
        <v>358</v>
      </c>
      <c r="B87" s="26" t="s">
        <v>317</v>
      </c>
      <c r="C87" s="62">
        <f>C84/SQRT(C85)</f>
        <v>1.5</v>
      </c>
      <c r="D87" s="22"/>
      <c r="E87" s="22"/>
      <c r="F87" s="64"/>
      <c r="G87" s="64"/>
      <c r="H87" s="64"/>
      <c r="I87" s="64"/>
      <c r="J87" s="64"/>
    </row>
    <row r="88">
      <c r="A88" s="50"/>
      <c r="B88" s="50"/>
      <c r="C88" s="50"/>
      <c r="D88" s="22"/>
      <c r="E88" s="22"/>
      <c r="F88" s="64"/>
      <c r="G88" s="64"/>
      <c r="H88" s="64"/>
      <c r="I88" s="64"/>
      <c r="J88" s="64"/>
    </row>
    <row r="89">
      <c r="A89" s="71" t="s">
        <v>359</v>
      </c>
      <c r="B89" s="72"/>
      <c r="C89" s="73"/>
      <c r="D89" s="22"/>
      <c r="E89" s="22"/>
      <c r="F89" s="64"/>
      <c r="G89" s="64"/>
      <c r="H89" s="64"/>
      <c r="I89" s="64"/>
      <c r="J89" s="64"/>
    </row>
    <row r="90">
      <c r="A90" s="70" t="s">
        <v>325</v>
      </c>
      <c r="B90" s="70" t="s">
        <v>141</v>
      </c>
      <c r="C90" s="70" t="s">
        <v>62</v>
      </c>
      <c r="D90" s="22"/>
      <c r="E90" s="22"/>
      <c r="F90" s="64"/>
      <c r="G90" s="64"/>
      <c r="H90" s="64"/>
      <c r="I90" s="64"/>
      <c r="J90" s="64"/>
    </row>
    <row r="91">
      <c r="A91" s="26" t="s">
        <v>368</v>
      </c>
      <c r="B91" s="58" t="s">
        <v>361</v>
      </c>
      <c r="C91" s="62">
        <f>1-NORMDIST(62,C86,C87,TRUE())</f>
        <v>0.97724986805182079</v>
      </c>
      <c r="D91" s="22"/>
      <c r="E91" s="22"/>
      <c r="F91" s="64"/>
      <c r="G91" s="64"/>
      <c r="H91" s="64"/>
      <c r="I91" s="64"/>
      <c r="J91" s="64"/>
    </row>
    <row r="92">
      <c r="A92" s="22"/>
      <c r="B92" s="22"/>
      <c r="C92" s="22"/>
      <c r="D92" s="22"/>
      <c r="E92" s="22"/>
      <c r="F92" s="64"/>
      <c r="G92" s="64"/>
      <c r="H92" s="64"/>
      <c r="I92" s="64"/>
      <c r="J92" s="64"/>
    </row>
    <row r="93">
      <c r="A93" s="22"/>
      <c r="B93" s="22"/>
      <c r="C93" s="22"/>
      <c r="D93" s="22"/>
      <c r="E93" s="22"/>
      <c r="F93" s="64"/>
      <c r="G93" s="64"/>
      <c r="H93" s="64"/>
      <c r="I93" s="64"/>
      <c r="J93" s="64"/>
    </row>
    <row r="94">
      <c r="A94" s="65" t="s">
        <v>369</v>
      </c>
      <c r="B94" s="65"/>
      <c r="C94" s="65"/>
      <c r="D94" s="65"/>
      <c r="E94" s="65"/>
      <c r="F94" s="65"/>
      <c r="G94" s="65"/>
      <c r="H94" s="65"/>
      <c r="I94" s="65"/>
      <c r="J94" s="65"/>
    </row>
    <row r="95">
      <c r="A95" s="66" t="s">
        <v>370</v>
      </c>
      <c r="B95" s="66"/>
      <c r="C95" s="66"/>
      <c r="D95" s="66"/>
      <c r="E95" s="66"/>
      <c r="F95" s="66"/>
      <c r="G95" s="66"/>
      <c r="H95" s="66"/>
      <c r="I95" s="66"/>
      <c r="J95" s="66"/>
    </row>
    <row r="96">
      <c r="A96" s="41"/>
      <c r="B96" s="41"/>
      <c r="C96" s="41"/>
      <c r="D96" s="22"/>
      <c r="E96" s="22"/>
      <c r="F96" s="64"/>
      <c r="G96" s="64"/>
      <c r="H96" s="64"/>
      <c r="I96" s="64"/>
      <c r="J96" s="64"/>
    </row>
    <row r="97">
      <c r="A97" s="67" t="s">
        <v>308</v>
      </c>
      <c r="B97" s="68"/>
      <c r="C97" s="69"/>
      <c r="D97" s="22"/>
      <c r="E97" s="22"/>
      <c r="F97" s="64"/>
      <c r="G97" s="64"/>
      <c r="H97" s="64"/>
      <c r="I97" s="64"/>
      <c r="J97" s="64"/>
    </row>
    <row r="98">
      <c r="A98" s="70" t="s">
        <v>235</v>
      </c>
      <c r="B98" s="70" t="s">
        <v>309</v>
      </c>
      <c r="C98" s="70" t="s">
        <v>62</v>
      </c>
      <c r="D98" s="22"/>
      <c r="E98" s="22"/>
      <c r="F98" s="64"/>
      <c r="G98" s="64"/>
      <c r="H98" s="64"/>
      <c r="I98" s="64"/>
      <c r="J98" s="64"/>
    </row>
    <row r="99">
      <c r="A99" s="26" t="s">
        <v>310</v>
      </c>
      <c r="B99" s="26" t="s">
        <v>311</v>
      </c>
      <c r="C99" s="26">
        <v>2500</v>
      </c>
      <c r="D99" s="22"/>
      <c r="E99" s="22"/>
      <c r="F99" s="64"/>
      <c r="G99" s="64"/>
      <c r="H99" s="64"/>
      <c r="I99" s="64"/>
      <c r="J99" s="64"/>
    </row>
    <row r="100">
      <c r="A100" s="26" t="s">
        <v>312</v>
      </c>
      <c r="B100" s="26" t="s">
        <v>313</v>
      </c>
      <c r="C100" s="26">
        <v>450</v>
      </c>
      <c r="D100" s="22"/>
      <c r="E100" s="22"/>
      <c r="F100" s="64"/>
      <c r="G100" s="64"/>
      <c r="H100" s="64"/>
      <c r="I100" s="64"/>
      <c r="J100" s="64"/>
    </row>
    <row r="101">
      <c r="A101" s="26" t="s">
        <v>314</v>
      </c>
      <c r="B101" s="26" t="s">
        <v>315</v>
      </c>
      <c r="C101" s="26">
        <v>36</v>
      </c>
      <c r="D101" s="22"/>
      <c r="E101" s="22"/>
      <c r="F101" s="64"/>
      <c r="G101" s="64"/>
      <c r="H101" s="64"/>
      <c r="I101" s="64"/>
      <c r="J101" s="64"/>
    </row>
    <row r="102">
      <c r="A102" s="26" t="s">
        <v>356</v>
      </c>
      <c r="B102" s="26" t="s">
        <v>357</v>
      </c>
      <c r="C102" s="62">
        <f>C99</f>
        <v>2500</v>
      </c>
      <c r="D102" s="22"/>
      <c r="E102" s="22"/>
      <c r="F102" s="64"/>
      <c r="G102" s="64"/>
      <c r="H102" s="64"/>
      <c r="I102" s="64"/>
      <c r="J102" s="64"/>
    </row>
    <row r="103">
      <c r="A103" s="26" t="s">
        <v>358</v>
      </c>
      <c r="B103" s="26" t="s">
        <v>317</v>
      </c>
      <c r="C103" s="62">
        <f>C100/SQRT(C101)</f>
        <v>75</v>
      </c>
      <c r="D103" s="22"/>
      <c r="E103" s="22"/>
      <c r="F103" s="64"/>
      <c r="G103" s="64"/>
      <c r="H103" s="64"/>
      <c r="I103" s="64"/>
      <c r="J103" s="64"/>
    </row>
    <row r="104">
      <c r="A104" s="50"/>
      <c r="B104" s="50"/>
      <c r="C104" s="50"/>
      <c r="D104" s="22"/>
      <c r="E104" s="22"/>
      <c r="F104" s="64"/>
      <c r="G104" s="64"/>
      <c r="H104" s="64"/>
      <c r="I104" s="64"/>
      <c r="J104" s="64"/>
    </row>
    <row r="105">
      <c r="A105" s="71" t="s">
        <v>359</v>
      </c>
      <c r="B105" s="72"/>
      <c r="C105" s="73"/>
      <c r="D105" s="22"/>
      <c r="E105" s="22"/>
      <c r="F105" s="64"/>
      <c r="G105" s="64"/>
      <c r="H105" s="64"/>
      <c r="I105" s="64"/>
      <c r="J105" s="64"/>
    </row>
    <row r="106">
      <c r="A106" s="70" t="s">
        <v>325</v>
      </c>
      <c r="B106" s="70" t="s">
        <v>141</v>
      </c>
      <c r="C106" s="70" t="s">
        <v>62</v>
      </c>
      <c r="D106" s="22"/>
      <c r="E106" s="22"/>
      <c r="F106" s="64"/>
      <c r="G106" s="64"/>
      <c r="H106" s="64"/>
      <c r="I106" s="64"/>
      <c r="J106" s="64"/>
    </row>
    <row r="107">
      <c r="A107" s="26" t="s">
        <v>371</v>
      </c>
      <c r="B107" s="58" t="s">
        <v>361</v>
      </c>
      <c r="C107" s="62">
        <f>NORMDIST(2600,C102,C103,TRUE())-NORMDIST(2400,C102,C103,TRUE())</f>
        <v>0.81757756054826425</v>
      </c>
      <c r="D107" s="22"/>
      <c r="E107" s="22"/>
      <c r="F107" s="64"/>
      <c r="G107" s="64"/>
      <c r="H107" s="64"/>
      <c r="I107" s="64"/>
      <c r="J107" s="64"/>
    </row>
    <row r="108">
      <c r="A108" s="22"/>
      <c r="B108" s="22"/>
      <c r="C108" s="22"/>
      <c r="D108" s="22"/>
      <c r="E108" s="22"/>
      <c r="F108" s="64"/>
      <c r="G108" s="64"/>
      <c r="H108" s="64"/>
      <c r="I108" s="64"/>
      <c r="J108" s="64"/>
    </row>
    <row r="109">
      <c r="A109" s="22"/>
      <c r="B109" s="22"/>
      <c r="C109" s="22"/>
      <c r="D109" s="22"/>
      <c r="E109" s="22"/>
      <c r="F109" s="64"/>
      <c r="G109" s="64"/>
      <c r="H109" s="64"/>
      <c r="I109" s="64"/>
      <c r="J109" s="64"/>
    </row>
    <row r="110">
      <c r="A110" s="65" t="s">
        <v>372</v>
      </c>
      <c r="B110" s="65"/>
      <c r="C110" s="65"/>
      <c r="D110" s="65"/>
      <c r="E110" s="65"/>
      <c r="F110" s="65"/>
      <c r="G110" s="65"/>
      <c r="H110" s="65"/>
      <c r="I110" s="65"/>
      <c r="J110" s="65"/>
    </row>
    <row r="111">
      <c r="A111" s="66" t="s">
        <v>373</v>
      </c>
      <c r="B111" s="66"/>
      <c r="C111" s="66"/>
      <c r="D111" s="66"/>
      <c r="E111" s="66"/>
      <c r="F111" s="66"/>
      <c r="G111" s="66"/>
      <c r="H111" s="66"/>
      <c r="I111" s="66"/>
      <c r="J111" s="66"/>
    </row>
    <row r="112">
      <c r="A112" s="41"/>
      <c r="B112" s="41"/>
      <c r="C112" s="41"/>
      <c r="D112" s="22"/>
      <c r="E112" s="22"/>
      <c r="F112" s="64"/>
      <c r="G112" s="64"/>
      <c r="H112" s="64"/>
      <c r="I112" s="64"/>
      <c r="J112" s="64"/>
    </row>
    <row r="113">
      <c r="A113" s="67" t="s">
        <v>308</v>
      </c>
      <c r="B113" s="68"/>
      <c r="C113" s="69"/>
      <c r="D113" s="22"/>
      <c r="E113" s="22"/>
      <c r="F113" s="64"/>
      <c r="G113" s="64"/>
      <c r="H113" s="64"/>
      <c r="I113" s="64"/>
      <c r="J113" s="64"/>
    </row>
    <row r="114">
      <c r="A114" s="70" t="s">
        <v>235</v>
      </c>
      <c r="B114" s="70" t="s">
        <v>309</v>
      </c>
      <c r="C114" s="70" t="s">
        <v>62</v>
      </c>
      <c r="D114" s="22"/>
      <c r="E114" s="22"/>
      <c r="F114" s="64"/>
      <c r="G114" s="64"/>
      <c r="H114" s="64"/>
      <c r="I114" s="64"/>
      <c r="J114" s="64"/>
    </row>
    <row r="115">
      <c r="A115" s="26" t="s">
        <v>310</v>
      </c>
      <c r="B115" s="26" t="s">
        <v>311</v>
      </c>
      <c r="C115" s="26">
        <v>25.5</v>
      </c>
      <c r="D115" s="22"/>
      <c r="E115" s="22"/>
      <c r="F115" s="64"/>
      <c r="G115" s="64"/>
      <c r="H115" s="64"/>
      <c r="I115" s="64"/>
      <c r="J115" s="64"/>
    </row>
    <row r="116">
      <c r="A116" s="26" t="s">
        <v>312</v>
      </c>
      <c r="B116" s="26" t="s">
        <v>313</v>
      </c>
      <c r="C116" s="26">
        <v>0.80000000000000004</v>
      </c>
      <c r="D116" s="22"/>
      <c r="E116" s="22"/>
      <c r="F116" s="64"/>
      <c r="G116" s="64"/>
      <c r="H116" s="64"/>
      <c r="I116" s="64"/>
      <c r="J116" s="64"/>
    </row>
    <row r="117">
      <c r="A117" s="26" t="s">
        <v>314</v>
      </c>
      <c r="B117" s="26" t="s">
        <v>315</v>
      </c>
      <c r="C117" s="26">
        <v>16</v>
      </c>
      <c r="D117" s="22"/>
      <c r="E117" s="22"/>
      <c r="F117" s="64"/>
      <c r="G117" s="64"/>
      <c r="H117" s="64"/>
      <c r="I117" s="64"/>
      <c r="J117" s="64"/>
    </row>
    <row r="118">
      <c r="A118" s="26" t="s">
        <v>356</v>
      </c>
      <c r="B118" s="26" t="s">
        <v>357</v>
      </c>
      <c r="C118" s="62">
        <f>C115</f>
        <v>25.5</v>
      </c>
      <c r="D118" s="22"/>
      <c r="E118" s="22"/>
      <c r="F118" s="64"/>
      <c r="G118" s="64"/>
      <c r="H118" s="64"/>
      <c r="I118" s="64"/>
      <c r="J118" s="64"/>
    </row>
    <row r="119">
      <c r="A119" s="26" t="s">
        <v>358</v>
      </c>
      <c r="B119" s="26" t="s">
        <v>317</v>
      </c>
      <c r="C119" s="62">
        <f>C116/SQRT(C117)</f>
        <v>0.20000000000000001</v>
      </c>
      <c r="D119" s="22"/>
      <c r="E119" s="22"/>
      <c r="F119" s="64"/>
      <c r="G119" s="64"/>
      <c r="H119" s="64"/>
      <c r="I119" s="64"/>
      <c r="J119" s="64"/>
    </row>
    <row r="120">
      <c r="A120" s="50"/>
      <c r="B120" s="50"/>
      <c r="C120" s="50"/>
      <c r="D120" s="22"/>
      <c r="E120" s="22"/>
      <c r="F120" s="64"/>
      <c r="G120" s="64"/>
      <c r="H120" s="64"/>
      <c r="I120" s="64"/>
      <c r="J120" s="64"/>
    </row>
    <row r="121">
      <c r="A121" s="71" t="s">
        <v>359</v>
      </c>
      <c r="B121" s="72"/>
      <c r="C121" s="73"/>
      <c r="D121" s="22"/>
      <c r="E121" s="22"/>
      <c r="F121" s="64"/>
      <c r="G121" s="64"/>
      <c r="H121" s="64"/>
      <c r="I121" s="64"/>
      <c r="J121" s="64"/>
    </row>
    <row r="122">
      <c r="A122" s="70" t="s">
        <v>325</v>
      </c>
      <c r="B122" s="70" t="s">
        <v>141</v>
      </c>
      <c r="C122" s="70" t="s">
        <v>62</v>
      </c>
      <c r="D122" s="22"/>
      <c r="E122" s="22"/>
      <c r="F122" s="64"/>
      <c r="G122" s="64"/>
      <c r="H122" s="64"/>
      <c r="I122" s="64"/>
      <c r="J122" s="64"/>
    </row>
    <row r="123">
      <c r="A123" s="26" t="s">
        <v>374</v>
      </c>
      <c r="B123" s="58" t="s">
        <v>361</v>
      </c>
      <c r="C123" s="62">
        <f>NORMDIST(26,C118,C119,TRUE())</f>
        <v>0.99379033467422384</v>
      </c>
      <c r="D123" s="22"/>
      <c r="E123" s="22"/>
      <c r="F123" s="64"/>
      <c r="G123" s="64"/>
      <c r="H123" s="64"/>
      <c r="I123" s="64"/>
      <c r="J123" s="64"/>
    </row>
    <row r="124">
      <c r="A124" s="26" t="s">
        <v>375</v>
      </c>
      <c r="B124" s="58" t="s">
        <v>361</v>
      </c>
      <c r="C124" s="62">
        <f>1-NORMDIST(25,C118,C119,TRUE())</f>
        <v>0.99379033467422384</v>
      </c>
      <c r="D124" s="22"/>
      <c r="E124" s="22"/>
      <c r="F124" s="64"/>
      <c r="G124" s="64"/>
      <c r="H124" s="64"/>
      <c r="I124" s="64"/>
      <c r="J124" s="64"/>
    </row>
  </sheetData>
  <mergeCells count="30">
    <mergeCell ref="A1:E1"/>
    <mergeCell ref="A3:J3"/>
    <mergeCell ref="A4:J4"/>
    <mergeCell ref="A6:C6"/>
    <mergeCell ref="A13:C13"/>
    <mergeCell ref="A19:C19"/>
    <mergeCell ref="A25:J25"/>
    <mergeCell ref="A26:J26"/>
    <mergeCell ref="A28:C28"/>
    <mergeCell ref="A37:C37"/>
    <mergeCell ref="A45:J45"/>
    <mergeCell ref="A46:J46"/>
    <mergeCell ref="A48:C48"/>
    <mergeCell ref="A56:C56"/>
    <mergeCell ref="A62:J62"/>
    <mergeCell ref="A63:J63"/>
    <mergeCell ref="A65:C65"/>
    <mergeCell ref="A73:C73"/>
    <mergeCell ref="A78:J78"/>
    <mergeCell ref="A79:J79"/>
    <mergeCell ref="A81:C81"/>
    <mergeCell ref="A89:C89"/>
    <mergeCell ref="A94:J94"/>
    <mergeCell ref="A95:J95"/>
    <mergeCell ref="A97:C97"/>
    <mergeCell ref="A105:C105"/>
    <mergeCell ref="A110:J110"/>
    <mergeCell ref="A111:J111"/>
    <mergeCell ref="A113:C113"/>
    <mergeCell ref="A121:C1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keshav14483</dc:creator>
  <cp:revision>1</cp:revision>
  <dcterms:created xsi:type="dcterms:W3CDTF">2026-04-22T08:13:33Z</dcterms:created>
  <dcterms:modified xsi:type="dcterms:W3CDTF">2026-04-22T19:24:33Z</dcterms:modified>
</cp:coreProperties>
</file>